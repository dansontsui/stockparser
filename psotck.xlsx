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ygit\stockparser\"/>
    </mc:Choice>
  </mc:AlternateContent>
  <bookViews>
    <workbookView xWindow="0" yWindow="0" windowWidth="28800" windowHeight="11970" activeTab="1"/>
  </bookViews>
  <sheets>
    <sheet name="psotck" sheetId="1" r:id="rId1"/>
    <sheet name="工作表1" sheetId="2" r:id="rId2"/>
  </sheets>
  <calcPr calcId="0"/>
</workbook>
</file>

<file path=xl/calcChain.xml><?xml version="1.0" encoding="utf-8"?>
<calcChain xmlns="http://schemas.openxmlformats.org/spreadsheetml/2006/main">
  <c r="G3" i="2" l="1"/>
  <c r="F59" i="2"/>
  <c r="G59" i="2"/>
  <c r="F3" i="2"/>
  <c r="G2" i="2"/>
  <c r="G60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F54" i="2"/>
  <c r="H3" i="2"/>
  <c r="I3" i="2" s="1"/>
  <c r="I64" i="2"/>
  <c r="I65" i="2"/>
  <c r="F60" i="2"/>
  <c r="I37" i="2"/>
  <c r="H37" i="2"/>
  <c r="I5" i="2"/>
  <c r="I4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E4" i="2"/>
  <c r="E5" i="2"/>
  <c r="E6" i="2"/>
  <c r="E7" i="2"/>
  <c r="H7" i="2" s="1"/>
  <c r="E8" i="2"/>
  <c r="E9" i="2"/>
  <c r="E10" i="2"/>
  <c r="E11" i="2"/>
  <c r="H11" i="2" s="1"/>
  <c r="E12" i="2"/>
  <c r="E13" i="2"/>
  <c r="E14" i="2"/>
  <c r="E15" i="2"/>
  <c r="H15" i="2" s="1"/>
  <c r="E16" i="2"/>
  <c r="E17" i="2"/>
  <c r="E18" i="2"/>
  <c r="E19" i="2"/>
  <c r="H19" i="2" s="1"/>
  <c r="E20" i="2"/>
  <c r="E21" i="2"/>
  <c r="E22" i="2"/>
  <c r="E23" i="2"/>
  <c r="H23" i="2" s="1"/>
  <c r="E24" i="2"/>
  <c r="E25" i="2"/>
  <c r="E26" i="2"/>
  <c r="E27" i="2"/>
  <c r="H27" i="2" s="1"/>
  <c r="E28" i="2"/>
  <c r="E29" i="2"/>
  <c r="E30" i="2"/>
  <c r="E31" i="2"/>
  <c r="H31" i="2" s="1"/>
  <c r="E32" i="2"/>
  <c r="E33" i="2"/>
  <c r="E34" i="2"/>
  <c r="E35" i="2"/>
  <c r="H35" i="2" s="1"/>
  <c r="E36" i="2"/>
  <c r="E37" i="2"/>
  <c r="E38" i="2"/>
  <c r="E39" i="2"/>
  <c r="H39" i="2" s="1"/>
  <c r="E40" i="2"/>
  <c r="E41" i="2"/>
  <c r="E42" i="2"/>
  <c r="E43" i="2"/>
  <c r="H43" i="2" s="1"/>
  <c r="E44" i="2"/>
  <c r="E45" i="2"/>
  <c r="E46" i="2"/>
  <c r="E47" i="2"/>
  <c r="H47" i="2" s="1"/>
  <c r="E48" i="2"/>
  <c r="E49" i="2"/>
  <c r="E50" i="2"/>
  <c r="E51" i="2"/>
  <c r="H51" i="2" s="1"/>
  <c r="E52" i="2"/>
  <c r="E53" i="2"/>
  <c r="E54" i="2"/>
  <c r="E55" i="2"/>
  <c r="H55" i="2" s="1"/>
  <c r="E56" i="2"/>
  <c r="E57" i="2"/>
  <c r="E58" i="2"/>
  <c r="E59" i="2"/>
  <c r="H59" i="2" s="1"/>
  <c r="E60" i="2"/>
  <c r="E61" i="2"/>
  <c r="E62" i="2"/>
  <c r="E63" i="2"/>
  <c r="H63" i="2" s="1"/>
  <c r="E64" i="2"/>
  <c r="E65" i="2"/>
  <c r="E66" i="2"/>
  <c r="E67" i="2"/>
  <c r="H67" i="2" s="1"/>
  <c r="E68" i="2"/>
  <c r="E69" i="2"/>
  <c r="E70" i="2"/>
  <c r="E71" i="2"/>
  <c r="H71" i="2" s="1"/>
  <c r="E72" i="2"/>
  <c r="E73" i="2"/>
  <c r="E74" i="2"/>
  <c r="E75" i="2"/>
  <c r="H75" i="2" s="1"/>
  <c r="E76" i="2"/>
  <c r="E77" i="2"/>
  <c r="E78" i="2"/>
  <c r="E79" i="2"/>
  <c r="H79" i="2" s="1"/>
  <c r="E80" i="2"/>
  <c r="E81" i="2"/>
  <c r="E82" i="2"/>
  <c r="E83" i="2"/>
  <c r="H83" i="2" s="1"/>
  <c r="E84" i="2"/>
  <c r="E85" i="2"/>
  <c r="E86" i="2"/>
  <c r="E87" i="2"/>
  <c r="H87" i="2" s="1"/>
  <c r="E88" i="2"/>
  <c r="E89" i="2"/>
  <c r="E90" i="2"/>
  <c r="E91" i="2"/>
  <c r="H91" i="2" s="1"/>
  <c r="E92" i="2"/>
  <c r="E93" i="2"/>
  <c r="E94" i="2"/>
  <c r="E95" i="2"/>
  <c r="H95" i="2" s="1"/>
  <c r="E96" i="2"/>
  <c r="E97" i="2"/>
  <c r="E98" i="2"/>
  <c r="E99" i="2"/>
  <c r="H99" i="2" s="1"/>
  <c r="E100" i="2"/>
  <c r="E101" i="2"/>
  <c r="E102" i="2"/>
  <c r="E103" i="2"/>
  <c r="H103" i="2" s="1"/>
  <c r="E104" i="2"/>
  <c r="E105" i="2"/>
  <c r="E106" i="2"/>
  <c r="E107" i="2"/>
  <c r="H107" i="2" s="1"/>
  <c r="E108" i="2"/>
  <c r="E109" i="2"/>
  <c r="E110" i="2"/>
  <c r="E111" i="2"/>
  <c r="H111" i="2" s="1"/>
  <c r="E112" i="2"/>
  <c r="E113" i="2"/>
  <c r="E114" i="2"/>
  <c r="E115" i="2"/>
  <c r="H115" i="2" s="1"/>
  <c r="E116" i="2"/>
  <c r="E117" i="2"/>
  <c r="E118" i="2"/>
  <c r="E119" i="2"/>
  <c r="H119" i="2" s="1"/>
  <c r="E120" i="2"/>
  <c r="E121" i="2"/>
  <c r="E122" i="2"/>
  <c r="E123" i="2"/>
  <c r="H123" i="2" s="1"/>
  <c r="E124" i="2"/>
  <c r="E125" i="2"/>
  <c r="E126" i="2"/>
  <c r="E127" i="2"/>
  <c r="H127" i="2" s="1"/>
  <c r="E128" i="2"/>
  <c r="E129" i="2"/>
  <c r="E130" i="2"/>
  <c r="E131" i="2"/>
  <c r="H131" i="2" s="1"/>
  <c r="E132" i="2"/>
  <c r="E133" i="2"/>
  <c r="E134" i="2"/>
  <c r="E135" i="2"/>
  <c r="H135" i="2" s="1"/>
  <c r="E136" i="2"/>
  <c r="E137" i="2"/>
  <c r="E138" i="2"/>
  <c r="E139" i="2"/>
  <c r="H139" i="2" s="1"/>
  <c r="E140" i="2"/>
  <c r="E141" i="2"/>
  <c r="E142" i="2"/>
  <c r="E143" i="2"/>
  <c r="H143" i="2" s="1"/>
  <c r="E144" i="2"/>
  <c r="E145" i="2"/>
  <c r="E146" i="2"/>
  <c r="E147" i="2"/>
  <c r="H147" i="2" s="1"/>
  <c r="E148" i="2"/>
  <c r="E149" i="2"/>
  <c r="E150" i="2"/>
  <c r="E151" i="2"/>
  <c r="H151" i="2" s="1"/>
  <c r="E152" i="2"/>
  <c r="E153" i="2"/>
  <c r="E154" i="2"/>
  <c r="E155" i="2"/>
  <c r="H155" i="2" s="1"/>
  <c r="E156" i="2"/>
  <c r="E157" i="2"/>
  <c r="E158" i="2"/>
  <c r="E159" i="2"/>
  <c r="H159" i="2" s="1"/>
  <c r="E160" i="2"/>
  <c r="E161" i="2"/>
  <c r="E162" i="2"/>
  <c r="E163" i="2"/>
  <c r="H163" i="2" s="1"/>
  <c r="E164" i="2"/>
  <c r="E165" i="2"/>
  <c r="E166" i="2"/>
  <c r="E167" i="2"/>
  <c r="H167" i="2" s="1"/>
  <c r="E168" i="2"/>
  <c r="E169" i="2"/>
  <c r="E170" i="2"/>
  <c r="E171" i="2"/>
  <c r="H171" i="2" s="1"/>
  <c r="E172" i="2"/>
  <c r="E173" i="2"/>
  <c r="E174" i="2"/>
  <c r="E175" i="2"/>
  <c r="H175" i="2" s="1"/>
  <c r="E176" i="2"/>
  <c r="E177" i="2"/>
  <c r="E178" i="2"/>
  <c r="E179" i="2"/>
  <c r="H179" i="2" s="1"/>
  <c r="E180" i="2"/>
  <c r="E181" i="2"/>
  <c r="E182" i="2"/>
  <c r="E183" i="2"/>
  <c r="H183" i="2" s="1"/>
  <c r="E184" i="2"/>
  <c r="E185" i="2"/>
  <c r="E186" i="2"/>
  <c r="E187" i="2"/>
  <c r="H187" i="2" s="1"/>
  <c r="E188" i="2"/>
  <c r="E189" i="2"/>
  <c r="E190" i="2"/>
  <c r="E191" i="2"/>
  <c r="H191" i="2" s="1"/>
  <c r="E192" i="2"/>
  <c r="E193" i="2"/>
  <c r="E194" i="2"/>
  <c r="E195" i="2"/>
  <c r="H195" i="2" s="1"/>
  <c r="E196" i="2"/>
  <c r="E197" i="2"/>
  <c r="E198" i="2"/>
  <c r="E199" i="2"/>
  <c r="H199" i="2" s="1"/>
  <c r="E200" i="2"/>
  <c r="E201" i="2"/>
  <c r="E202" i="2"/>
  <c r="E203" i="2"/>
  <c r="H203" i="2" s="1"/>
  <c r="E204" i="2"/>
  <c r="E205" i="2"/>
  <c r="E206" i="2"/>
  <c r="E207" i="2"/>
  <c r="H207" i="2" s="1"/>
  <c r="E208" i="2"/>
  <c r="E209" i="2"/>
  <c r="E210" i="2"/>
  <c r="E211" i="2"/>
  <c r="H211" i="2" s="1"/>
  <c r="E212" i="2"/>
  <c r="E213" i="2"/>
  <c r="E214" i="2"/>
  <c r="E215" i="2"/>
  <c r="H215" i="2" s="1"/>
  <c r="E216" i="2"/>
  <c r="E217" i="2"/>
  <c r="E218" i="2"/>
  <c r="E219" i="2"/>
  <c r="H219" i="2" s="1"/>
  <c r="E220" i="2"/>
  <c r="E221" i="2"/>
  <c r="E222" i="2"/>
  <c r="E223" i="2"/>
  <c r="H223" i="2" s="1"/>
  <c r="E224" i="2"/>
  <c r="E225" i="2"/>
  <c r="E226" i="2"/>
  <c r="E227" i="2"/>
  <c r="H227" i="2" s="1"/>
  <c r="E228" i="2"/>
  <c r="E229" i="2"/>
  <c r="E230" i="2"/>
  <c r="E231" i="2"/>
  <c r="H231" i="2" s="1"/>
  <c r="E232" i="2"/>
  <c r="E233" i="2"/>
  <c r="E3" i="2"/>
  <c r="G3" i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5" i="2"/>
  <c r="F56" i="2"/>
  <c r="F57" i="2"/>
  <c r="F58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" i="2"/>
  <c r="H4" i="2"/>
  <c r="H5" i="2"/>
  <c r="H6" i="2"/>
  <c r="H8" i="2"/>
  <c r="H9" i="2"/>
  <c r="H10" i="2"/>
  <c r="H12" i="2"/>
  <c r="H13" i="2"/>
  <c r="H14" i="2"/>
  <c r="H16" i="2"/>
  <c r="H17" i="2"/>
  <c r="H18" i="2"/>
  <c r="H20" i="2"/>
  <c r="H21" i="2"/>
  <c r="H22" i="2"/>
  <c r="H24" i="2"/>
  <c r="H25" i="2"/>
  <c r="H26" i="2"/>
  <c r="H28" i="2"/>
  <c r="H29" i="2"/>
  <c r="H30" i="2"/>
  <c r="H32" i="2"/>
  <c r="H33" i="2"/>
  <c r="H34" i="2"/>
  <c r="H36" i="2"/>
  <c r="H38" i="2"/>
  <c r="H40" i="2"/>
  <c r="H41" i="2"/>
  <c r="H42" i="2"/>
  <c r="H44" i="2"/>
  <c r="H45" i="2"/>
  <c r="H46" i="2"/>
  <c r="H48" i="2"/>
  <c r="H49" i="2"/>
  <c r="H50" i="2"/>
  <c r="H52" i="2"/>
  <c r="H53" i="2"/>
  <c r="H54" i="2"/>
  <c r="H56" i="2"/>
  <c r="H57" i="2"/>
  <c r="H58" i="2"/>
  <c r="H60" i="2"/>
  <c r="H61" i="2"/>
  <c r="H62" i="2"/>
  <c r="H64" i="2"/>
  <c r="H65" i="2"/>
  <c r="H66" i="2"/>
  <c r="H68" i="2"/>
  <c r="H69" i="2"/>
  <c r="H70" i="2"/>
  <c r="H72" i="2"/>
  <c r="H73" i="2"/>
  <c r="H74" i="2"/>
  <c r="H76" i="2"/>
  <c r="H77" i="2"/>
  <c r="H78" i="2"/>
  <c r="H80" i="2"/>
  <c r="H81" i="2"/>
  <c r="H82" i="2"/>
  <c r="H84" i="2"/>
  <c r="H85" i="2"/>
  <c r="H86" i="2"/>
  <c r="H88" i="2"/>
  <c r="H89" i="2"/>
  <c r="H90" i="2"/>
  <c r="H92" i="2"/>
  <c r="H93" i="2"/>
  <c r="H94" i="2"/>
  <c r="H96" i="2"/>
  <c r="H97" i="2"/>
  <c r="H98" i="2"/>
  <c r="H100" i="2"/>
  <c r="H101" i="2"/>
  <c r="H102" i="2"/>
  <c r="H104" i="2"/>
  <c r="H105" i="2"/>
  <c r="H106" i="2"/>
  <c r="H108" i="2"/>
  <c r="H109" i="2"/>
  <c r="H110" i="2"/>
  <c r="H112" i="2"/>
  <c r="H113" i="2"/>
  <c r="H114" i="2"/>
  <c r="H116" i="2"/>
  <c r="H117" i="2"/>
  <c r="H118" i="2"/>
  <c r="H120" i="2"/>
  <c r="H121" i="2"/>
  <c r="H122" i="2"/>
  <c r="H124" i="2"/>
  <c r="H125" i="2"/>
  <c r="H126" i="2"/>
  <c r="H128" i="2"/>
  <c r="H129" i="2"/>
  <c r="H130" i="2"/>
  <c r="H132" i="2"/>
  <c r="H133" i="2"/>
  <c r="H134" i="2"/>
  <c r="H136" i="2"/>
  <c r="H137" i="2"/>
  <c r="H138" i="2"/>
  <c r="H140" i="2"/>
  <c r="H141" i="2"/>
  <c r="H142" i="2"/>
  <c r="H144" i="2"/>
  <c r="H145" i="2"/>
  <c r="H146" i="2"/>
  <c r="H148" i="2"/>
  <c r="H149" i="2"/>
  <c r="H150" i="2"/>
  <c r="H152" i="2"/>
  <c r="H153" i="2"/>
  <c r="H154" i="2"/>
  <c r="H156" i="2"/>
  <c r="H157" i="2"/>
  <c r="H158" i="2"/>
  <c r="H160" i="2"/>
  <c r="H161" i="2"/>
  <c r="H162" i="2"/>
  <c r="H164" i="2"/>
  <c r="H165" i="2"/>
  <c r="H166" i="2"/>
  <c r="H168" i="2"/>
  <c r="H169" i="2"/>
  <c r="H170" i="2"/>
  <c r="H172" i="2"/>
  <c r="H173" i="2"/>
  <c r="H174" i="2"/>
  <c r="H176" i="2"/>
  <c r="H177" i="2"/>
  <c r="H178" i="2"/>
  <c r="H180" i="2"/>
  <c r="H181" i="2"/>
  <c r="H182" i="2"/>
  <c r="H184" i="2"/>
  <c r="H185" i="2"/>
  <c r="H186" i="2"/>
  <c r="H188" i="2"/>
  <c r="H189" i="2"/>
  <c r="H190" i="2"/>
  <c r="H192" i="2"/>
  <c r="H193" i="2"/>
  <c r="H194" i="2"/>
  <c r="H196" i="2"/>
  <c r="H197" i="2"/>
  <c r="H198" i="2"/>
  <c r="H200" i="2"/>
  <c r="H201" i="2"/>
  <c r="H202" i="2"/>
  <c r="H204" i="2"/>
  <c r="H205" i="2"/>
  <c r="H206" i="2"/>
  <c r="H208" i="2"/>
  <c r="H209" i="2"/>
  <c r="H210" i="2"/>
  <c r="H212" i="2"/>
  <c r="H213" i="2"/>
  <c r="H214" i="2"/>
  <c r="H216" i="2"/>
  <c r="H217" i="2"/>
  <c r="H218" i="2"/>
  <c r="H220" i="2"/>
  <c r="H221" i="2"/>
  <c r="H222" i="2"/>
  <c r="H224" i="2"/>
  <c r="H225" i="2"/>
  <c r="H226" i="2"/>
  <c r="H228" i="2"/>
  <c r="H229" i="2"/>
  <c r="H230" i="2"/>
  <c r="H232" i="2"/>
  <c r="H233" i="2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5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F226" i="1"/>
  <c r="F81" i="1"/>
  <c r="F64" i="1"/>
  <c r="F37" i="1"/>
</calcChain>
</file>

<file path=xl/sharedStrings.xml><?xml version="1.0" encoding="utf-8"?>
<sst xmlns="http://schemas.openxmlformats.org/spreadsheetml/2006/main" count="9" uniqueCount="6">
  <si>
    <t>date</t>
  </si>
  <si>
    <t>bkdata</t>
  </si>
  <si>
    <t>pred</t>
  </si>
  <si>
    <t>p</t>
  </si>
  <si>
    <t>hold</t>
    <phoneticPr fontId="18" type="noConversion"/>
  </si>
  <si>
    <t>here no trans because , broker no action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</si>
</sst>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33" borderId="0" xfId="0" applyFill="1">
      <alignment vertical="center"/>
    </xf>
    <xf numFmtId="14" fontId="0" fillId="34" borderId="0" xfId="0" applyNumberFormat="1" applyFill="1">
      <alignment vertical="center"/>
    </xf>
    <xf numFmtId="0" fontId="0" fillId="34" borderId="0" xfId="0" applyFill="1">
      <alignment vertical="center"/>
    </xf>
    <xf numFmtId="0" fontId="0" fillId="0" borderId="0" xfId="0" applyFill="1">
      <alignment vertical="center"/>
    </xf>
    <xf numFmtId="14" fontId="0" fillId="35" borderId="0" xfId="0" applyNumberFormat="1" applyFill="1">
      <alignment vertical="center"/>
    </xf>
    <xf numFmtId="0" fontId="0" fillId="35" borderId="0" xfId="0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29"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3"/>
  <sheetViews>
    <sheetView workbookViewId="0">
      <selection activeCell="G3" sqref="G3"/>
    </sheetView>
  </sheetViews>
  <sheetFormatPr defaultRowHeight="16.5" x14ac:dyDescent="0.25"/>
  <cols>
    <col min="1" max="1" width="10.5" bestFit="1" customWidth="1"/>
  </cols>
  <sheetData>
    <row r="1" spans="1:7" x14ac:dyDescent="0.25">
      <c r="A1" t="s">
        <v>0</v>
      </c>
      <c r="B1">
        <v>8299</v>
      </c>
      <c r="C1" t="s">
        <v>1</v>
      </c>
      <c r="D1" t="s">
        <v>2</v>
      </c>
      <c r="E1" t="s">
        <v>3</v>
      </c>
    </row>
    <row r="2" spans="1:7" x14ac:dyDescent="0.25">
      <c r="A2" s="1">
        <v>44622</v>
      </c>
      <c r="B2">
        <v>520</v>
      </c>
      <c r="C2">
        <v>0</v>
      </c>
      <c r="D2">
        <v>382.747028188819</v>
      </c>
      <c r="E2">
        <v>382.747028188819</v>
      </c>
    </row>
    <row r="3" spans="1:7" x14ac:dyDescent="0.25">
      <c r="A3" s="1">
        <v>44623</v>
      </c>
      <c r="B3">
        <v>528</v>
      </c>
      <c r="C3">
        <v>24</v>
      </c>
      <c r="D3">
        <v>437.72242832744899</v>
      </c>
      <c r="E3">
        <v>437.72242832744899</v>
      </c>
      <c r="G3">
        <f>D3-B3</f>
        <v>-90.277571672551005</v>
      </c>
    </row>
    <row r="4" spans="1:7" x14ac:dyDescent="0.25">
      <c r="A4" s="3">
        <v>44624</v>
      </c>
      <c r="B4" s="4">
        <v>513</v>
      </c>
      <c r="C4" s="4">
        <v>24</v>
      </c>
      <c r="D4" s="4">
        <v>437.72242832744899</v>
      </c>
      <c r="E4" s="4">
        <v>437.72242832744899</v>
      </c>
      <c r="F4" s="4">
        <v>513</v>
      </c>
      <c r="G4">
        <f t="shared" ref="G4:G67" si="0">D4-B4</f>
        <v>-75.277571672551005</v>
      </c>
    </row>
    <row r="5" spans="1:7" x14ac:dyDescent="0.25">
      <c r="A5" s="1">
        <v>44627</v>
      </c>
      <c r="B5">
        <v>487.5</v>
      </c>
      <c r="C5">
        <v>24</v>
      </c>
      <c r="D5">
        <v>437.72242832744899</v>
      </c>
      <c r="E5">
        <v>437.72242832744899</v>
      </c>
      <c r="F5">
        <f>D5-D4</f>
        <v>0</v>
      </c>
      <c r="G5">
        <f t="shared" si="0"/>
        <v>-49.777571672551005</v>
      </c>
    </row>
    <row r="6" spans="1:7" x14ac:dyDescent="0.25">
      <c r="A6" s="1">
        <v>44628</v>
      </c>
      <c r="B6">
        <v>472</v>
      </c>
      <c r="C6">
        <v>24</v>
      </c>
      <c r="D6">
        <v>437.72242832744899</v>
      </c>
      <c r="E6">
        <v>437.72242832744899</v>
      </c>
      <c r="F6">
        <f t="shared" ref="F6:F36" si="1">D6-D5</f>
        <v>0</v>
      </c>
      <c r="G6">
        <f t="shared" si="0"/>
        <v>-34.277571672551005</v>
      </c>
    </row>
    <row r="7" spans="1:7" x14ac:dyDescent="0.25">
      <c r="A7" s="1">
        <v>44629</v>
      </c>
      <c r="B7">
        <v>478</v>
      </c>
      <c r="C7">
        <v>10</v>
      </c>
      <c r="D7">
        <v>405.65344491324799</v>
      </c>
      <c r="E7">
        <v>405.65344491324799</v>
      </c>
      <c r="F7">
        <f t="shared" si="1"/>
        <v>-32.068983414201</v>
      </c>
      <c r="G7">
        <f t="shared" si="0"/>
        <v>-72.346555086752005</v>
      </c>
    </row>
    <row r="8" spans="1:7" x14ac:dyDescent="0.25">
      <c r="A8" s="1">
        <v>44630</v>
      </c>
      <c r="B8">
        <v>497</v>
      </c>
      <c r="C8">
        <v>10</v>
      </c>
      <c r="D8">
        <v>405.65344491324799</v>
      </c>
      <c r="E8">
        <v>405.65344491324799</v>
      </c>
      <c r="F8">
        <f t="shared" si="1"/>
        <v>0</v>
      </c>
      <c r="G8">
        <f t="shared" si="0"/>
        <v>-91.346555086752005</v>
      </c>
    </row>
    <row r="9" spans="1:7" x14ac:dyDescent="0.25">
      <c r="A9" s="1">
        <v>44631</v>
      </c>
      <c r="B9">
        <v>484</v>
      </c>
      <c r="C9">
        <v>10</v>
      </c>
      <c r="D9">
        <v>405.65344491324799</v>
      </c>
      <c r="E9">
        <v>405.65344491324799</v>
      </c>
      <c r="F9">
        <f t="shared" si="1"/>
        <v>0</v>
      </c>
      <c r="G9">
        <f t="shared" si="0"/>
        <v>-78.346555086752005</v>
      </c>
    </row>
    <row r="10" spans="1:7" x14ac:dyDescent="0.25">
      <c r="A10" s="1">
        <v>44634</v>
      </c>
      <c r="B10">
        <v>487</v>
      </c>
      <c r="C10">
        <v>10</v>
      </c>
      <c r="D10">
        <v>405.65344491324799</v>
      </c>
      <c r="E10">
        <v>405.65344491324799</v>
      </c>
      <c r="F10">
        <f t="shared" si="1"/>
        <v>0</v>
      </c>
      <c r="G10">
        <f t="shared" si="0"/>
        <v>-81.346555086752005</v>
      </c>
    </row>
    <row r="11" spans="1:7" x14ac:dyDescent="0.25">
      <c r="A11" s="1">
        <v>44635</v>
      </c>
      <c r="B11">
        <v>464</v>
      </c>
      <c r="C11">
        <v>10</v>
      </c>
      <c r="D11">
        <v>405.65344491324799</v>
      </c>
      <c r="E11">
        <v>405.65344491324799</v>
      </c>
      <c r="F11">
        <f t="shared" si="1"/>
        <v>0</v>
      </c>
      <c r="G11">
        <f t="shared" si="0"/>
        <v>-58.346555086752005</v>
      </c>
    </row>
    <row r="12" spans="1:7" x14ac:dyDescent="0.25">
      <c r="A12" s="1">
        <v>44636</v>
      </c>
      <c r="B12">
        <v>455.5</v>
      </c>
      <c r="C12">
        <v>10</v>
      </c>
      <c r="D12">
        <v>405.65344491324799</v>
      </c>
      <c r="E12">
        <v>405.65344491324799</v>
      </c>
      <c r="F12">
        <f t="shared" si="1"/>
        <v>0</v>
      </c>
      <c r="G12">
        <f t="shared" si="0"/>
        <v>-49.846555086752005</v>
      </c>
    </row>
    <row r="13" spans="1:7" x14ac:dyDescent="0.25">
      <c r="A13" s="1">
        <v>44637</v>
      </c>
      <c r="B13">
        <v>486</v>
      </c>
      <c r="C13">
        <v>10</v>
      </c>
      <c r="D13">
        <v>405.65344491324799</v>
      </c>
      <c r="E13">
        <v>405.65344491324799</v>
      </c>
      <c r="F13">
        <f t="shared" si="1"/>
        <v>0</v>
      </c>
      <c r="G13">
        <f t="shared" si="0"/>
        <v>-80.346555086752005</v>
      </c>
    </row>
    <row r="14" spans="1:7" x14ac:dyDescent="0.25">
      <c r="A14" s="1">
        <v>44638</v>
      </c>
      <c r="B14">
        <v>485.5</v>
      </c>
      <c r="C14">
        <v>10</v>
      </c>
      <c r="D14">
        <v>405.65344491324799</v>
      </c>
      <c r="E14">
        <v>405.65344491324799</v>
      </c>
      <c r="F14">
        <f t="shared" si="1"/>
        <v>0</v>
      </c>
      <c r="G14">
        <f t="shared" si="0"/>
        <v>-79.846555086752005</v>
      </c>
    </row>
    <row r="15" spans="1:7" x14ac:dyDescent="0.25">
      <c r="A15" s="1">
        <v>44641</v>
      </c>
      <c r="B15">
        <v>480.5</v>
      </c>
      <c r="C15">
        <v>10</v>
      </c>
      <c r="D15">
        <v>405.65344491324799</v>
      </c>
      <c r="E15">
        <v>405.65344491324799</v>
      </c>
      <c r="F15">
        <f t="shared" si="1"/>
        <v>0</v>
      </c>
      <c r="G15">
        <f t="shared" si="0"/>
        <v>-74.846555086752005</v>
      </c>
    </row>
    <row r="16" spans="1:7" x14ac:dyDescent="0.25">
      <c r="A16" s="1">
        <v>44642</v>
      </c>
      <c r="B16">
        <v>474.5</v>
      </c>
      <c r="C16">
        <v>10</v>
      </c>
      <c r="D16">
        <v>405.65344491324799</v>
      </c>
      <c r="E16">
        <v>405.65344491324799</v>
      </c>
      <c r="F16">
        <f t="shared" si="1"/>
        <v>0</v>
      </c>
      <c r="G16">
        <f t="shared" si="0"/>
        <v>-68.846555086752005</v>
      </c>
    </row>
    <row r="17" spans="1:7" x14ac:dyDescent="0.25">
      <c r="A17" s="1">
        <v>44643</v>
      </c>
      <c r="B17">
        <v>485.5</v>
      </c>
      <c r="C17">
        <v>10</v>
      </c>
      <c r="D17">
        <v>405.65344491324799</v>
      </c>
      <c r="E17">
        <v>405.65344491324799</v>
      </c>
      <c r="F17">
        <f t="shared" si="1"/>
        <v>0</v>
      </c>
      <c r="G17">
        <f t="shared" si="0"/>
        <v>-79.846555086752005</v>
      </c>
    </row>
    <row r="18" spans="1:7" x14ac:dyDescent="0.25">
      <c r="A18" s="1">
        <v>44644</v>
      </c>
      <c r="B18">
        <v>479</v>
      </c>
      <c r="C18">
        <v>10</v>
      </c>
      <c r="D18">
        <v>405.65344491324799</v>
      </c>
      <c r="E18">
        <v>405.65344491324799</v>
      </c>
      <c r="F18">
        <f t="shared" si="1"/>
        <v>0</v>
      </c>
      <c r="G18">
        <f t="shared" si="0"/>
        <v>-73.346555086752005</v>
      </c>
    </row>
    <row r="19" spans="1:7" x14ac:dyDescent="0.25">
      <c r="A19" s="1">
        <v>44645</v>
      </c>
      <c r="B19">
        <v>477.5</v>
      </c>
      <c r="C19">
        <v>10</v>
      </c>
      <c r="D19">
        <v>405.65344491324799</v>
      </c>
      <c r="E19">
        <v>405.65344491324799</v>
      </c>
      <c r="F19">
        <f t="shared" si="1"/>
        <v>0</v>
      </c>
      <c r="G19">
        <f t="shared" si="0"/>
        <v>-71.846555086752005</v>
      </c>
    </row>
    <row r="20" spans="1:7" x14ac:dyDescent="0.25">
      <c r="A20" s="1">
        <v>44648</v>
      </c>
      <c r="B20">
        <v>467.5</v>
      </c>
      <c r="C20">
        <v>10</v>
      </c>
      <c r="D20">
        <v>405.65344491324799</v>
      </c>
      <c r="E20">
        <v>405.65344491324799</v>
      </c>
      <c r="F20">
        <f t="shared" si="1"/>
        <v>0</v>
      </c>
      <c r="G20">
        <f t="shared" si="0"/>
        <v>-61.846555086752005</v>
      </c>
    </row>
    <row r="21" spans="1:7" x14ac:dyDescent="0.25">
      <c r="A21" s="1">
        <v>44649</v>
      </c>
      <c r="B21">
        <v>480</v>
      </c>
      <c r="C21">
        <v>10</v>
      </c>
      <c r="D21">
        <v>405.65344491324799</v>
      </c>
      <c r="E21">
        <v>405.65344491324799</v>
      </c>
      <c r="F21">
        <f t="shared" si="1"/>
        <v>0</v>
      </c>
      <c r="G21">
        <f t="shared" si="0"/>
        <v>-74.346555086752005</v>
      </c>
    </row>
    <row r="22" spans="1:7" x14ac:dyDescent="0.25">
      <c r="A22" s="1">
        <v>44650</v>
      </c>
      <c r="B22">
        <v>495</v>
      </c>
      <c r="C22">
        <v>-12</v>
      </c>
      <c r="D22">
        <v>355.25932811950503</v>
      </c>
      <c r="E22">
        <v>355.25932811950503</v>
      </c>
      <c r="F22">
        <f t="shared" si="1"/>
        <v>-50.394116793742967</v>
      </c>
      <c r="G22">
        <f t="shared" si="0"/>
        <v>-139.74067188049497</v>
      </c>
    </row>
    <row r="23" spans="1:7" x14ac:dyDescent="0.25">
      <c r="A23" s="1">
        <v>44651</v>
      </c>
      <c r="B23">
        <v>475.5</v>
      </c>
      <c r="C23">
        <v>-12</v>
      </c>
      <c r="D23">
        <v>355.25932811950503</v>
      </c>
      <c r="E23">
        <v>355.25932811950503</v>
      </c>
      <c r="F23">
        <f t="shared" si="1"/>
        <v>0</v>
      </c>
      <c r="G23">
        <f t="shared" si="0"/>
        <v>-120.24067188049497</v>
      </c>
    </row>
    <row r="24" spans="1:7" x14ac:dyDescent="0.25">
      <c r="A24" s="1">
        <v>44652</v>
      </c>
      <c r="B24">
        <v>478</v>
      </c>
      <c r="C24">
        <v>-12</v>
      </c>
      <c r="D24">
        <v>355.25932811950503</v>
      </c>
      <c r="E24">
        <v>355.25932811950503</v>
      </c>
      <c r="F24">
        <f t="shared" si="1"/>
        <v>0</v>
      </c>
      <c r="G24">
        <f t="shared" si="0"/>
        <v>-122.74067188049497</v>
      </c>
    </row>
    <row r="25" spans="1:7" x14ac:dyDescent="0.25">
      <c r="A25" s="1">
        <v>44657</v>
      </c>
      <c r="B25">
        <v>473</v>
      </c>
      <c r="C25">
        <v>-12</v>
      </c>
      <c r="D25">
        <v>355.25932811950503</v>
      </c>
      <c r="E25">
        <v>355.25932811950503</v>
      </c>
      <c r="F25">
        <f t="shared" si="1"/>
        <v>0</v>
      </c>
      <c r="G25">
        <f t="shared" si="0"/>
        <v>-117.74067188049497</v>
      </c>
    </row>
    <row r="26" spans="1:7" x14ac:dyDescent="0.25">
      <c r="A26" s="1">
        <v>44658</v>
      </c>
      <c r="B26">
        <v>455.5</v>
      </c>
      <c r="C26">
        <v>10</v>
      </c>
      <c r="D26">
        <v>405.65344491324799</v>
      </c>
      <c r="E26">
        <v>405.65344491324799</v>
      </c>
      <c r="F26">
        <f t="shared" si="1"/>
        <v>50.394116793742967</v>
      </c>
      <c r="G26">
        <f t="shared" si="0"/>
        <v>-49.846555086752005</v>
      </c>
    </row>
    <row r="27" spans="1:7" x14ac:dyDescent="0.25">
      <c r="A27" s="1">
        <v>44659</v>
      </c>
      <c r="B27">
        <v>444.5</v>
      </c>
      <c r="C27">
        <v>10</v>
      </c>
      <c r="D27">
        <v>405.65344491324799</v>
      </c>
      <c r="E27">
        <v>405.65344491324799</v>
      </c>
      <c r="F27">
        <f t="shared" si="1"/>
        <v>0</v>
      </c>
      <c r="G27">
        <f t="shared" si="0"/>
        <v>-38.846555086752005</v>
      </c>
    </row>
    <row r="28" spans="1:7" x14ac:dyDescent="0.25">
      <c r="A28" s="1">
        <v>44662</v>
      </c>
      <c r="B28">
        <v>420.5</v>
      </c>
      <c r="C28">
        <v>10</v>
      </c>
      <c r="D28">
        <v>405.65344491324799</v>
      </c>
      <c r="E28">
        <v>405.65344491324799</v>
      </c>
      <c r="F28">
        <f t="shared" si="1"/>
        <v>0</v>
      </c>
      <c r="G28">
        <f t="shared" si="0"/>
        <v>-14.846555086752005</v>
      </c>
    </row>
    <row r="29" spans="1:7" x14ac:dyDescent="0.25">
      <c r="A29" s="1">
        <v>44663</v>
      </c>
      <c r="B29">
        <v>426.5</v>
      </c>
      <c r="C29">
        <v>10</v>
      </c>
      <c r="D29">
        <v>405.65344491324799</v>
      </c>
      <c r="E29">
        <v>405.65344491324799</v>
      </c>
      <c r="F29">
        <f t="shared" si="1"/>
        <v>0</v>
      </c>
      <c r="G29">
        <f t="shared" si="0"/>
        <v>-20.846555086752005</v>
      </c>
    </row>
    <row r="30" spans="1:7" x14ac:dyDescent="0.25">
      <c r="A30" s="1">
        <v>44664</v>
      </c>
      <c r="B30">
        <v>430.5</v>
      </c>
      <c r="C30">
        <v>10</v>
      </c>
      <c r="D30">
        <v>405.65344491324799</v>
      </c>
      <c r="E30">
        <v>405.65344491324799</v>
      </c>
      <c r="F30">
        <f t="shared" si="1"/>
        <v>0</v>
      </c>
      <c r="G30">
        <f t="shared" si="0"/>
        <v>-24.846555086752005</v>
      </c>
    </row>
    <row r="31" spans="1:7" x14ac:dyDescent="0.25">
      <c r="A31" s="1">
        <v>44665</v>
      </c>
      <c r="B31">
        <v>424</v>
      </c>
      <c r="C31">
        <v>10</v>
      </c>
      <c r="D31">
        <v>405.65344491324799</v>
      </c>
      <c r="E31">
        <v>405.65344491324799</v>
      </c>
      <c r="F31">
        <f t="shared" si="1"/>
        <v>0</v>
      </c>
      <c r="G31">
        <f t="shared" si="0"/>
        <v>-18.346555086752005</v>
      </c>
    </row>
    <row r="32" spans="1:7" x14ac:dyDescent="0.25">
      <c r="A32" s="1">
        <v>44666</v>
      </c>
      <c r="B32">
        <v>418</v>
      </c>
      <c r="C32">
        <v>10</v>
      </c>
      <c r="D32">
        <v>405.65344491324799</v>
      </c>
      <c r="E32">
        <v>405.65344491324799</v>
      </c>
      <c r="F32">
        <f t="shared" si="1"/>
        <v>0</v>
      </c>
      <c r="G32">
        <f t="shared" si="0"/>
        <v>-12.346555086752005</v>
      </c>
    </row>
    <row r="33" spans="1:7" x14ac:dyDescent="0.25">
      <c r="A33" s="1">
        <v>44669</v>
      </c>
      <c r="B33">
        <v>414.5</v>
      </c>
      <c r="C33">
        <v>10</v>
      </c>
      <c r="D33">
        <v>405.65344491324799</v>
      </c>
      <c r="E33">
        <v>405.65344491324799</v>
      </c>
      <c r="F33">
        <f t="shared" si="1"/>
        <v>0</v>
      </c>
      <c r="G33">
        <f t="shared" si="0"/>
        <v>-8.8465550867520051</v>
      </c>
    </row>
    <row r="34" spans="1:7" x14ac:dyDescent="0.25">
      <c r="A34" s="1">
        <v>44670</v>
      </c>
      <c r="B34">
        <v>415</v>
      </c>
      <c r="C34">
        <v>10</v>
      </c>
      <c r="D34">
        <v>405.65344491324799</v>
      </c>
      <c r="E34">
        <v>405.65344491324799</v>
      </c>
      <c r="F34">
        <f t="shared" si="1"/>
        <v>0</v>
      </c>
      <c r="G34">
        <f t="shared" si="0"/>
        <v>-9.3465550867520051</v>
      </c>
    </row>
    <row r="35" spans="1:7" x14ac:dyDescent="0.25">
      <c r="A35" s="1">
        <v>44671</v>
      </c>
      <c r="B35">
        <v>414.5</v>
      </c>
      <c r="C35">
        <v>10</v>
      </c>
      <c r="D35">
        <v>405.65344491324799</v>
      </c>
      <c r="E35">
        <v>405.65344491324799</v>
      </c>
      <c r="F35">
        <f t="shared" si="1"/>
        <v>0</v>
      </c>
      <c r="G35">
        <f t="shared" si="0"/>
        <v>-8.8465550867520051</v>
      </c>
    </row>
    <row r="36" spans="1:7" x14ac:dyDescent="0.25">
      <c r="A36" s="1">
        <v>44672</v>
      </c>
      <c r="B36">
        <v>410</v>
      </c>
      <c r="C36">
        <v>10</v>
      </c>
      <c r="D36">
        <v>405.65344491324799</v>
      </c>
      <c r="E36">
        <v>405.65344491324799</v>
      </c>
      <c r="F36">
        <f t="shared" si="1"/>
        <v>0</v>
      </c>
      <c r="G36">
        <f t="shared" si="0"/>
        <v>-4.3465550867520051</v>
      </c>
    </row>
    <row r="37" spans="1:7" x14ac:dyDescent="0.25">
      <c r="A37" s="6">
        <v>44673</v>
      </c>
      <c r="B37" s="7">
        <v>402.5</v>
      </c>
      <c r="C37" s="7">
        <v>10</v>
      </c>
      <c r="D37" s="7">
        <v>405.65344491324799</v>
      </c>
      <c r="E37" s="7">
        <v>405.65344491324799</v>
      </c>
      <c r="F37">
        <f>513-405</f>
        <v>108</v>
      </c>
      <c r="G37">
        <f t="shared" si="0"/>
        <v>3.1534449132479949</v>
      </c>
    </row>
    <row r="38" spans="1:7" x14ac:dyDescent="0.25">
      <c r="A38" s="1">
        <v>44676</v>
      </c>
      <c r="B38">
        <v>385.5</v>
      </c>
      <c r="C38">
        <v>10</v>
      </c>
      <c r="D38">
        <v>405.65344491324799</v>
      </c>
      <c r="E38">
        <v>405.65344491324799</v>
      </c>
      <c r="G38">
        <f t="shared" si="0"/>
        <v>20.153444913247995</v>
      </c>
    </row>
    <row r="39" spans="1:7" x14ac:dyDescent="0.25">
      <c r="A39" s="1">
        <v>44677</v>
      </c>
      <c r="B39">
        <v>393</v>
      </c>
      <c r="C39">
        <v>10</v>
      </c>
      <c r="D39">
        <v>405.65344491324799</v>
      </c>
      <c r="E39">
        <v>405.65344491324799</v>
      </c>
      <c r="G39">
        <f t="shared" si="0"/>
        <v>12.653444913247995</v>
      </c>
    </row>
    <row r="40" spans="1:7" x14ac:dyDescent="0.25">
      <c r="A40" s="1">
        <v>44678</v>
      </c>
      <c r="B40">
        <v>385.5</v>
      </c>
      <c r="C40">
        <v>10</v>
      </c>
      <c r="D40">
        <v>405.65344491324799</v>
      </c>
      <c r="E40">
        <v>405.65344491324799</v>
      </c>
      <c r="G40">
        <f t="shared" si="0"/>
        <v>20.153444913247995</v>
      </c>
    </row>
    <row r="41" spans="1:7" x14ac:dyDescent="0.25">
      <c r="A41" s="1">
        <v>44679</v>
      </c>
      <c r="B41">
        <v>384</v>
      </c>
      <c r="C41">
        <v>10</v>
      </c>
      <c r="D41">
        <v>405.65344491324799</v>
      </c>
      <c r="E41">
        <v>405.65344491324799</v>
      </c>
      <c r="G41">
        <f t="shared" si="0"/>
        <v>21.653444913247995</v>
      </c>
    </row>
    <row r="42" spans="1:7" x14ac:dyDescent="0.25">
      <c r="A42" s="1">
        <v>44680</v>
      </c>
      <c r="B42">
        <v>387.5</v>
      </c>
      <c r="C42">
        <v>10</v>
      </c>
      <c r="D42">
        <v>405.65344491324799</v>
      </c>
      <c r="E42">
        <v>405.65344491324799</v>
      </c>
      <c r="G42">
        <f t="shared" si="0"/>
        <v>18.153444913247995</v>
      </c>
    </row>
    <row r="43" spans="1:7" x14ac:dyDescent="0.25">
      <c r="A43" s="1">
        <v>44684</v>
      </c>
      <c r="B43">
        <v>389</v>
      </c>
      <c r="C43">
        <v>10</v>
      </c>
      <c r="D43">
        <v>405.65344491324799</v>
      </c>
      <c r="E43">
        <v>405.65344491324799</v>
      </c>
      <c r="G43">
        <f t="shared" si="0"/>
        <v>16.653444913247995</v>
      </c>
    </row>
    <row r="44" spans="1:7" x14ac:dyDescent="0.25">
      <c r="A44" s="1">
        <v>44685</v>
      </c>
      <c r="B44">
        <v>389.5</v>
      </c>
      <c r="C44">
        <v>10</v>
      </c>
      <c r="D44">
        <v>405.65344491324799</v>
      </c>
      <c r="E44">
        <v>405.65344491324799</v>
      </c>
      <c r="G44">
        <f t="shared" si="0"/>
        <v>16.153444913247995</v>
      </c>
    </row>
    <row r="45" spans="1:7" x14ac:dyDescent="0.25">
      <c r="A45" s="1">
        <v>44686</v>
      </c>
      <c r="B45">
        <v>406</v>
      </c>
      <c r="C45">
        <v>10</v>
      </c>
      <c r="D45">
        <v>405.65344491324799</v>
      </c>
      <c r="E45">
        <v>405.65344491324799</v>
      </c>
      <c r="G45">
        <f t="shared" si="0"/>
        <v>-0.34655508675200508</v>
      </c>
    </row>
    <row r="46" spans="1:7" x14ac:dyDescent="0.25">
      <c r="A46" s="1">
        <v>44687</v>
      </c>
      <c r="B46">
        <v>398.5</v>
      </c>
      <c r="C46">
        <v>10</v>
      </c>
      <c r="D46">
        <v>405.65344491324799</v>
      </c>
      <c r="E46">
        <v>405.65344491324799</v>
      </c>
      <c r="G46">
        <f t="shared" si="0"/>
        <v>7.1534449132479949</v>
      </c>
    </row>
    <row r="47" spans="1:7" x14ac:dyDescent="0.25">
      <c r="A47" s="1">
        <v>44690</v>
      </c>
      <c r="B47">
        <v>378.5</v>
      </c>
      <c r="C47">
        <v>10</v>
      </c>
      <c r="D47">
        <v>405.65344491324799</v>
      </c>
      <c r="E47">
        <v>405.65344491324799</v>
      </c>
      <c r="G47">
        <f t="shared" si="0"/>
        <v>27.153444913247995</v>
      </c>
    </row>
    <row r="48" spans="1:7" x14ac:dyDescent="0.25">
      <c r="A48" s="1">
        <v>44691</v>
      </c>
      <c r="B48">
        <v>383</v>
      </c>
      <c r="C48">
        <v>10</v>
      </c>
      <c r="D48">
        <v>405.65344491324799</v>
      </c>
      <c r="E48">
        <v>405.65344491324799</v>
      </c>
      <c r="G48">
        <f t="shared" si="0"/>
        <v>22.653444913247995</v>
      </c>
    </row>
    <row r="49" spans="1:7" x14ac:dyDescent="0.25">
      <c r="A49" s="1">
        <v>44692</v>
      </c>
      <c r="B49">
        <v>375.5</v>
      </c>
      <c r="C49">
        <v>10</v>
      </c>
      <c r="D49">
        <v>405.65344491324799</v>
      </c>
      <c r="E49">
        <v>405.65344491324799</v>
      </c>
      <c r="G49">
        <f t="shared" si="0"/>
        <v>30.153444913247995</v>
      </c>
    </row>
    <row r="50" spans="1:7" x14ac:dyDescent="0.25">
      <c r="A50" s="1">
        <v>44693</v>
      </c>
      <c r="B50">
        <v>370</v>
      </c>
      <c r="C50">
        <v>10</v>
      </c>
      <c r="D50">
        <v>405.65344491324799</v>
      </c>
      <c r="E50">
        <v>405.65344491324799</v>
      </c>
      <c r="G50">
        <f t="shared" si="0"/>
        <v>35.653444913247995</v>
      </c>
    </row>
    <row r="51" spans="1:7" x14ac:dyDescent="0.25">
      <c r="A51" s="1">
        <v>44694</v>
      </c>
      <c r="B51">
        <v>378.5</v>
      </c>
      <c r="C51">
        <v>10</v>
      </c>
      <c r="D51">
        <v>405.65344491324799</v>
      </c>
      <c r="E51">
        <v>405.65344491324799</v>
      </c>
      <c r="G51">
        <f t="shared" si="0"/>
        <v>27.153444913247995</v>
      </c>
    </row>
    <row r="52" spans="1:7" x14ac:dyDescent="0.25">
      <c r="A52" s="1">
        <v>44697</v>
      </c>
      <c r="B52">
        <v>375.5</v>
      </c>
      <c r="C52">
        <v>10</v>
      </c>
      <c r="D52">
        <v>405.65344491324799</v>
      </c>
      <c r="E52">
        <v>405.65344491324799</v>
      </c>
      <c r="G52">
        <f t="shared" si="0"/>
        <v>30.153444913247995</v>
      </c>
    </row>
    <row r="53" spans="1:7" x14ac:dyDescent="0.25">
      <c r="A53" s="1">
        <v>44698</v>
      </c>
      <c r="B53">
        <v>387.5</v>
      </c>
      <c r="C53">
        <v>10</v>
      </c>
      <c r="D53">
        <v>405.65344491324799</v>
      </c>
      <c r="E53">
        <v>405.65344491324799</v>
      </c>
      <c r="G53">
        <f t="shared" si="0"/>
        <v>18.153444913247995</v>
      </c>
    </row>
    <row r="54" spans="1:7" x14ac:dyDescent="0.25">
      <c r="A54" s="1">
        <v>44699</v>
      </c>
      <c r="B54">
        <v>391</v>
      </c>
      <c r="C54">
        <v>6</v>
      </c>
      <c r="D54">
        <v>396.49087822347701</v>
      </c>
      <c r="E54">
        <v>396.49087822347701</v>
      </c>
      <c r="G54">
        <f t="shared" si="0"/>
        <v>5.4908782234770115</v>
      </c>
    </row>
    <row r="55" spans="1:7" x14ac:dyDescent="0.25">
      <c r="A55" s="1">
        <v>44700</v>
      </c>
      <c r="B55">
        <v>393.5</v>
      </c>
      <c r="C55">
        <v>6</v>
      </c>
      <c r="D55">
        <v>396.49087822347701</v>
      </c>
      <c r="E55">
        <v>396.49087822347701</v>
      </c>
      <c r="G55">
        <f t="shared" si="0"/>
        <v>2.9908782234770115</v>
      </c>
    </row>
    <row r="56" spans="1:7" x14ac:dyDescent="0.25">
      <c r="A56" s="1">
        <v>44701</v>
      </c>
      <c r="B56">
        <v>391</v>
      </c>
      <c r="C56">
        <v>6</v>
      </c>
      <c r="D56">
        <v>396.49087822347701</v>
      </c>
      <c r="E56">
        <v>396.49087822347701</v>
      </c>
      <c r="G56">
        <f t="shared" si="0"/>
        <v>5.4908782234770115</v>
      </c>
    </row>
    <row r="57" spans="1:7" x14ac:dyDescent="0.25">
      <c r="A57" s="1">
        <v>44704</v>
      </c>
      <c r="B57">
        <v>388</v>
      </c>
      <c r="C57">
        <v>6</v>
      </c>
      <c r="D57">
        <v>396.49087822347701</v>
      </c>
      <c r="E57">
        <v>396.49087822347701</v>
      </c>
      <c r="G57">
        <f t="shared" si="0"/>
        <v>8.4908782234770115</v>
      </c>
    </row>
    <row r="58" spans="1:7" x14ac:dyDescent="0.25">
      <c r="A58" s="1">
        <v>44705</v>
      </c>
      <c r="B58">
        <v>379</v>
      </c>
      <c r="C58">
        <v>6</v>
      </c>
      <c r="D58">
        <v>396.49087822347701</v>
      </c>
      <c r="E58">
        <v>396.49087822347701</v>
      </c>
      <c r="G58">
        <f t="shared" si="0"/>
        <v>17.490878223477011</v>
      </c>
    </row>
    <row r="59" spans="1:7" x14ac:dyDescent="0.25">
      <c r="A59" s="1">
        <v>44706</v>
      </c>
      <c r="B59">
        <v>376</v>
      </c>
      <c r="C59">
        <v>11</v>
      </c>
      <c r="D59">
        <v>407.94408658569102</v>
      </c>
      <c r="E59">
        <v>407.94408658569102</v>
      </c>
      <c r="G59">
        <f t="shared" si="0"/>
        <v>31.944086585691025</v>
      </c>
    </row>
    <row r="60" spans="1:7" x14ac:dyDescent="0.25">
      <c r="A60" s="1">
        <v>44707</v>
      </c>
      <c r="B60" s="7">
        <v>368</v>
      </c>
      <c r="C60" s="7">
        <v>6</v>
      </c>
      <c r="D60" s="7">
        <v>396.49087822347701</v>
      </c>
      <c r="E60" s="7">
        <v>396.49087822347701</v>
      </c>
      <c r="G60">
        <f t="shared" si="0"/>
        <v>28.490878223477011</v>
      </c>
    </row>
    <row r="61" spans="1:7" x14ac:dyDescent="0.25">
      <c r="A61" s="1">
        <v>44708</v>
      </c>
      <c r="B61">
        <v>377</v>
      </c>
      <c r="C61">
        <v>6</v>
      </c>
      <c r="D61">
        <v>396.49087822347701</v>
      </c>
      <c r="E61">
        <v>396.49087822347701</v>
      </c>
      <c r="G61">
        <f t="shared" si="0"/>
        <v>19.490878223477011</v>
      </c>
    </row>
    <row r="62" spans="1:7" x14ac:dyDescent="0.25">
      <c r="A62" s="1">
        <v>44711</v>
      </c>
      <c r="B62">
        <v>393</v>
      </c>
      <c r="C62">
        <v>6</v>
      </c>
      <c r="D62">
        <v>396.49087822347701</v>
      </c>
      <c r="E62">
        <v>396.49087822347701</v>
      </c>
      <c r="G62">
        <f t="shared" si="0"/>
        <v>3.4908782234770115</v>
      </c>
    </row>
    <row r="63" spans="1:7" x14ac:dyDescent="0.25">
      <c r="A63" s="1">
        <v>44712</v>
      </c>
      <c r="B63">
        <v>395.5</v>
      </c>
      <c r="C63">
        <v>6</v>
      </c>
      <c r="D63">
        <v>396.49087822347701</v>
      </c>
      <c r="E63">
        <v>396.49087822347701</v>
      </c>
      <c r="G63">
        <f t="shared" si="0"/>
        <v>0.99087822347701149</v>
      </c>
    </row>
    <row r="64" spans="1:7" x14ac:dyDescent="0.25">
      <c r="A64" s="1">
        <v>44713</v>
      </c>
      <c r="B64" s="4">
        <v>400</v>
      </c>
      <c r="C64" s="4">
        <v>6</v>
      </c>
      <c r="D64" s="4">
        <v>396.49087822347701</v>
      </c>
      <c r="E64" s="4">
        <v>396.49087822347701</v>
      </c>
      <c r="F64">
        <f>396-368</f>
        <v>28</v>
      </c>
      <c r="G64">
        <f t="shared" si="0"/>
        <v>-3.5091217765229885</v>
      </c>
    </row>
    <row r="65" spans="1:7" x14ac:dyDescent="0.25">
      <c r="A65" s="1">
        <v>44714</v>
      </c>
      <c r="B65">
        <v>395</v>
      </c>
      <c r="C65">
        <v>6</v>
      </c>
      <c r="D65">
        <v>396.49087822347701</v>
      </c>
      <c r="E65">
        <v>396.49087822347701</v>
      </c>
      <c r="G65">
        <f t="shared" si="0"/>
        <v>1.4908782234770115</v>
      </c>
    </row>
    <row r="66" spans="1:7" x14ac:dyDescent="0.25">
      <c r="A66" s="1">
        <v>44718</v>
      </c>
      <c r="B66">
        <v>390.5</v>
      </c>
      <c r="C66">
        <v>6</v>
      </c>
      <c r="D66">
        <v>396.49087822347701</v>
      </c>
      <c r="E66">
        <v>396.49087822347701</v>
      </c>
      <c r="G66">
        <f t="shared" si="0"/>
        <v>5.9908782234770115</v>
      </c>
    </row>
    <row r="67" spans="1:7" x14ac:dyDescent="0.25">
      <c r="A67" s="1">
        <v>44719</v>
      </c>
      <c r="B67">
        <v>383.5</v>
      </c>
      <c r="C67">
        <v>6</v>
      </c>
      <c r="D67">
        <v>396.49087822347701</v>
      </c>
      <c r="E67">
        <v>396.49087822347701</v>
      </c>
      <c r="G67">
        <f t="shared" si="0"/>
        <v>12.990878223477011</v>
      </c>
    </row>
    <row r="68" spans="1:7" x14ac:dyDescent="0.25">
      <c r="A68" s="1">
        <v>44720</v>
      </c>
      <c r="B68">
        <v>389.5</v>
      </c>
      <c r="C68">
        <v>6</v>
      </c>
      <c r="D68">
        <v>396.49087822347701</v>
      </c>
      <c r="E68">
        <v>396.49087822347701</v>
      </c>
      <c r="G68">
        <f t="shared" ref="G68:G131" si="2">D68-B68</f>
        <v>6.9908782234770115</v>
      </c>
    </row>
    <row r="69" spans="1:7" x14ac:dyDescent="0.25">
      <c r="A69" s="1">
        <v>44721</v>
      </c>
      <c r="B69">
        <v>387.5</v>
      </c>
      <c r="C69">
        <v>6</v>
      </c>
      <c r="D69">
        <v>396.49087822347701</v>
      </c>
      <c r="E69">
        <v>396.49087822347701</v>
      </c>
      <c r="G69">
        <f t="shared" si="2"/>
        <v>8.9908782234770115</v>
      </c>
    </row>
    <row r="70" spans="1:7" x14ac:dyDescent="0.25">
      <c r="A70" s="1">
        <v>44722</v>
      </c>
      <c r="B70">
        <v>381.5</v>
      </c>
      <c r="C70">
        <v>6</v>
      </c>
      <c r="D70">
        <v>396.49087822347701</v>
      </c>
      <c r="E70">
        <v>396.49087822347701</v>
      </c>
      <c r="G70">
        <f t="shared" si="2"/>
        <v>14.990878223477011</v>
      </c>
    </row>
    <row r="71" spans="1:7" x14ac:dyDescent="0.25">
      <c r="A71" s="1">
        <v>44725</v>
      </c>
      <c r="B71">
        <v>369.5</v>
      </c>
      <c r="C71">
        <v>6</v>
      </c>
      <c r="D71">
        <v>396.49087822347701</v>
      </c>
      <c r="E71">
        <v>396.49087822347701</v>
      </c>
      <c r="G71">
        <f t="shared" si="2"/>
        <v>26.990878223477011</v>
      </c>
    </row>
    <row r="72" spans="1:7" x14ac:dyDescent="0.25">
      <c r="A72" s="1">
        <v>44726</v>
      </c>
      <c r="B72">
        <v>363.5</v>
      </c>
      <c r="C72">
        <v>6</v>
      </c>
      <c r="D72">
        <v>396.49087822347701</v>
      </c>
      <c r="E72">
        <v>396.49087822347701</v>
      </c>
      <c r="G72">
        <f t="shared" si="2"/>
        <v>32.990878223477011</v>
      </c>
    </row>
    <row r="73" spans="1:7" x14ac:dyDescent="0.25">
      <c r="A73" s="1">
        <v>44727</v>
      </c>
      <c r="B73">
        <v>351.5</v>
      </c>
      <c r="C73">
        <v>6</v>
      </c>
      <c r="D73">
        <v>396.49087822347701</v>
      </c>
      <c r="E73">
        <v>396.49087822347701</v>
      </c>
      <c r="G73">
        <f t="shared" si="2"/>
        <v>44.990878223477011</v>
      </c>
    </row>
    <row r="74" spans="1:7" x14ac:dyDescent="0.25">
      <c r="A74" s="1">
        <v>44728</v>
      </c>
      <c r="B74">
        <v>345.5</v>
      </c>
      <c r="C74">
        <v>6</v>
      </c>
      <c r="D74">
        <v>396.49087822347701</v>
      </c>
      <c r="E74">
        <v>396.49087822347701</v>
      </c>
      <c r="G74">
        <f t="shared" si="2"/>
        <v>50.990878223477011</v>
      </c>
    </row>
    <row r="75" spans="1:7" x14ac:dyDescent="0.25">
      <c r="A75" s="1">
        <v>44729</v>
      </c>
      <c r="B75">
        <v>328</v>
      </c>
      <c r="C75">
        <v>-9</v>
      </c>
      <c r="D75">
        <v>362.13125313683298</v>
      </c>
      <c r="E75">
        <v>362.13125313683298</v>
      </c>
      <c r="G75">
        <f t="shared" si="2"/>
        <v>34.131253136832981</v>
      </c>
    </row>
    <row r="76" spans="1:7" x14ac:dyDescent="0.25">
      <c r="A76" s="1">
        <v>44732</v>
      </c>
      <c r="B76" s="7">
        <v>316</v>
      </c>
      <c r="C76" s="7">
        <v>10</v>
      </c>
      <c r="D76" s="7">
        <v>405.65344491324799</v>
      </c>
      <c r="E76" s="7">
        <v>405.65344491324799</v>
      </c>
      <c r="F76">
        <v>316</v>
      </c>
      <c r="G76">
        <f t="shared" si="2"/>
        <v>89.653444913247995</v>
      </c>
    </row>
    <row r="77" spans="1:7" x14ac:dyDescent="0.25">
      <c r="A77" s="1">
        <v>44733</v>
      </c>
      <c r="B77">
        <v>321</v>
      </c>
      <c r="C77">
        <v>9</v>
      </c>
      <c r="D77">
        <v>403.36280324080599</v>
      </c>
      <c r="E77">
        <v>403.36280324080599</v>
      </c>
      <c r="G77">
        <f t="shared" si="2"/>
        <v>82.362803240805988</v>
      </c>
    </row>
    <row r="78" spans="1:7" x14ac:dyDescent="0.25">
      <c r="A78" s="1">
        <v>44734</v>
      </c>
      <c r="B78">
        <v>299.5</v>
      </c>
      <c r="C78">
        <v>9</v>
      </c>
      <c r="D78">
        <v>403.36280324080599</v>
      </c>
      <c r="E78">
        <v>403.36280324080599</v>
      </c>
      <c r="G78">
        <f t="shared" si="2"/>
        <v>103.86280324080599</v>
      </c>
    </row>
    <row r="79" spans="1:7" x14ac:dyDescent="0.25">
      <c r="A79" s="1">
        <v>44735</v>
      </c>
      <c r="B79">
        <v>297</v>
      </c>
      <c r="C79">
        <v>9</v>
      </c>
      <c r="D79">
        <v>403.36280324080599</v>
      </c>
      <c r="E79">
        <v>403.36280324080599</v>
      </c>
      <c r="G79">
        <f t="shared" si="2"/>
        <v>106.36280324080599</v>
      </c>
    </row>
    <row r="80" spans="1:7" x14ac:dyDescent="0.25">
      <c r="A80" s="1">
        <v>44736</v>
      </c>
      <c r="B80" s="5">
        <v>294</v>
      </c>
      <c r="C80" s="5">
        <v>-63</v>
      </c>
      <c r="D80" s="5">
        <v>238.436602824917</v>
      </c>
      <c r="E80" s="5">
        <v>238.436602824917</v>
      </c>
      <c r="G80">
        <f t="shared" si="2"/>
        <v>-55.563397175082997</v>
      </c>
    </row>
    <row r="81" spans="1:7" x14ac:dyDescent="0.25">
      <c r="A81" s="1">
        <v>44739</v>
      </c>
      <c r="B81" s="4">
        <v>301</v>
      </c>
      <c r="C81" s="4">
        <v>-40</v>
      </c>
      <c r="D81" s="4">
        <v>291.12136129110399</v>
      </c>
      <c r="E81" s="4">
        <v>291.12136129110399</v>
      </c>
      <c r="F81">
        <f>301+-316</f>
        <v>-15</v>
      </c>
      <c r="G81">
        <f t="shared" si="2"/>
        <v>-9.8786387088960055</v>
      </c>
    </row>
    <row r="82" spans="1:7" x14ac:dyDescent="0.25">
      <c r="A82" s="1">
        <v>44740</v>
      </c>
      <c r="B82">
        <v>279.5</v>
      </c>
      <c r="C82">
        <v>-40</v>
      </c>
      <c r="D82">
        <v>291.12136129110399</v>
      </c>
      <c r="E82">
        <v>291.12136129110399</v>
      </c>
      <c r="G82">
        <f t="shared" si="2"/>
        <v>11.621361291103995</v>
      </c>
    </row>
    <row r="83" spans="1:7" x14ac:dyDescent="0.25">
      <c r="A83" s="1">
        <v>44741</v>
      </c>
      <c r="B83">
        <v>281.5</v>
      </c>
      <c r="C83">
        <v>-40</v>
      </c>
      <c r="D83">
        <v>291.12136129110399</v>
      </c>
      <c r="E83">
        <v>291.12136129110399</v>
      </c>
      <c r="G83">
        <f t="shared" si="2"/>
        <v>9.6213612911039945</v>
      </c>
    </row>
    <row r="84" spans="1:7" x14ac:dyDescent="0.25">
      <c r="A84" s="1">
        <v>44742</v>
      </c>
      <c r="B84">
        <v>271</v>
      </c>
      <c r="C84">
        <v>-40</v>
      </c>
      <c r="D84">
        <v>291.12136129110399</v>
      </c>
      <c r="E84">
        <v>291.12136129110399</v>
      </c>
      <c r="G84">
        <f t="shared" si="2"/>
        <v>20.121361291103995</v>
      </c>
    </row>
    <row r="85" spans="1:7" x14ac:dyDescent="0.25">
      <c r="A85" s="1">
        <v>44743</v>
      </c>
      <c r="B85">
        <v>256</v>
      </c>
      <c r="C85">
        <v>-40</v>
      </c>
      <c r="D85">
        <v>291.12136129110399</v>
      </c>
      <c r="E85">
        <v>291.12136129110399</v>
      </c>
      <c r="G85">
        <f t="shared" si="2"/>
        <v>35.121361291103995</v>
      </c>
    </row>
    <row r="86" spans="1:7" x14ac:dyDescent="0.25">
      <c r="A86" s="1">
        <v>44746</v>
      </c>
      <c r="B86">
        <v>258</v>
      </c>
      <c r="C86">
        <v>-40</v>
      </c>
      <c r="D86">
        <v>291.12136129110399</v>
      </c>
      <c r="E86">
        <v>291.12136129110399</v>
      </c>
      <c r="G86">
        <f t="shared" si="2"/>
        <v>33.121361291103995</v>
      </c>
    </row>
    <row r="87" spans="1:7" x14ac:dyDescent="0.25">
      <c r="A87" s="1">
        <v>44747</v>
      </c>
      <c r="B87">
        <v>257.5</v>
      </c>
      <c r="C87">
        <v>-40</v>
      </c>
      <c r="D87">
        <v>291.12136129110399</v>
      </c>
      <c r="E87">
        <v>291.12136129110399</v>
      </c>
      <c r="G87">
        <f t="shared" si="2"/>
        <v>33.621361291103995</v>
      </c>
    </row>
    <row r="88" spans="1:7" x14ac:dyDescent="0.25">
      <c r="A88" s="1">
        <v>44748</v>
      </c>
      <c r="B88">
        <v>251</v>
      </c>
      <c r="C88">
        <v>-40</v>
      </c>
      <c r="D88">
        <v>291.12136129110399</v>
      </c>
      <c r="E88">
        <v>291.12136129110399</v>
      </c>
      <c r="G88">
        <f t="shared" si="2"/>
        <v>40.121361291103995</v>
      </c>
    </row>
    <row r="89" spans="1:7" x14ac:dyDescent="0.25">
      <c r="A89" s="1">
        <v>44749</v>
      </c>
      <c r="B89">
        <v>263</v>
      </c>
      <c r="C89">
        <v>-40</v>
      </c>
      <c r="D89">
        <v>291.12136129110399</v>
      </c>
      <c r="E89">
        <v>291.12136129110399</v>
      </c>
      <c r="G89">
        <f t="shared" si="2"/>
        <v>28.121361291103995</v>
      </c>
    </row>
    <row r="90" spans="1:7" x14ac:dyDescent="0.25">
      <c r="A90" s="1">
        <v>44750</v>
      </c>
      <c r="B90">
        <v>272.5</v>
      </c>
      <c r="C90">
        <v>-40</v>
      </c>
      <c r="D90">
        <v>291.12136129110399</v>
      </c>
      <c r="E90">
        <v>291.12136129110399</v>
      </c>
      <c r="G90">
        <f t="shared" si="2"/>
        <v>18.621361291103995</v>
      </c>
    </row>
    <row r="91" spans="1:7" x14ac:dyDescent="0.25">
      <c r="A91" s="1">
        <v>44753</v>
      </c>
      <c r="B91">
        <v>269</v>
      </c>
      <c r="C91">
        <v>-40</v>
      </c>
      <c r="D91">
        <v>291.12136129110399</v>
      </c>
      <c r="E91">
        <v>291.12136129110399</v>
      </c>
      <c r="G91">
        <f t="shared" si="2"/>
        <v>22.121361291103995</v>
      </c>
    </row>
    <row r="92" spans="1:7" x14ac:dyDescent="0.25">
      <c r="A92" s="1">
        <v>44754</v>
      </c>
      <c r="B92">
        <v>267</v>
      </c>
      <c r="C92">
        <v>-40</v>
      </c>
      <c r="D92">
        <v>291.12136129110399</v>
      </c>
      <c r="E92">
        <v>291.12136129110399</v>
      </c>
      <c r="G92">
        <f t="shared" si="2"/>
        <v>24.121361291103995</v>
      </c>
    </row>
    <row r="93" spans="1:7" x14ac:dyDescent="0.25">
      <c r="A93" s="1">
        <v>44755</v>
      </c>
      <c r="B93">
        <v>274</v>
      </c>
      <c r="C93">
        <v>-40</v>
      </c>
      <c r="D93">
        <v>291.12136129110399</v>
      </c>
      <c r="E93">
        <v>291.12136129110399</v>
      </c>
      <c r="G93">
        <f t="shared" si="2"/>
        <v>17.121361291103995</v>
      </c>
    </row>
    <row r="94" spans="1:7" x14ac:dyDescent="0.25">
      <c r="A94" s="1">
        <v>44756</v>
      </c>
      <c r="B94">
        <v>279.5</v>
      </c>
      <c r="C94">
        <v>-40</v>
      </c>
      <c r="D94">
        <v>291.12136129110399</v>
      </c>
      <c r="E94">
        <v>291.12136129110399</v>
      </c>
      <c r="G94">
        <f t="shared" si="2"/>
        <v>11.621361291103995</v>
      </c>
    </row>
    <row r="95" spans="1:7" x14ac:dyDescent="0.25">
      <c r="A95" s="1">
        <v>44757</v>
      </c>
      <c r="B95">
        <v>286.5</v>
      </c>
      <c r="C95">
        <v>-40</v>
      </c>
      <c r="D95">
        <v>291.12136129110399</v>
      </c>
      <c r="E95">
        <v>291.12136129110399</v>
      </c>
      <c r="G95">
        <f t="shared" si="2"/>
        <v>4.6213612911039945</v>
      </c>
    </row>
    <row r="96" spans="1:7" x14ac:dyDescent="0.25">
      <c r="A96" s="1">
        <v>44760</v>
      </c>
      <c r="B96">
        <v>301</v>
      </c>
      <c r="C96">
        <v>-40</v>
      </c>
      <c r="D96">
        <v>291.12136129110399</v>
      </c>
      <c r="E96">
        <v>291.12136129110399</v>
      </c>
      <c r="G96">
        <f t="shared" si="2"/>
        <v>-9.8786387088960055</v>
      </c>
    </row>
    <row r="97" spans="1:7" x14ac:dyDescent="0.25">
      <c r="A97" s="1">
        <v>44761</v>
      </c>
      <c r="B97">
        <v>300.5</v>
      </c>
      <c r="C97">
        <v>-40</v>
      </c>
      <c r="D97">
        <v>291.12136129110399</v>
      </c>
      <c r="E97">
        <v>291.12136129110399</v>
      </c>
      <c r="G97">
        <f t="shared" si="2"/>
        <v>-9.3786387088960055</v>
      </c>
    </row>
    <row r="98" spans="1:7" x14ac:dyDescent="0.25">
      <c r="A98" s="1">
        <v>44762</v>
      </c>
      <c r="B98">
        <v>299</v>
      </c>
      <c r="C98">
        <v>-40</v>
      </c>
      <c r="D98">
        <v>291.12136129110399</v>
      </c>
      <c r="E98">
        <v>291.12136129110399</v>
      </c>
      <c r="G98">
        <f t="shared" si="2"/>
        <v>-7.8786387088960055</v>
      </c>
    </row>
    <row r="99" spans="1:7" x14ac:dyDescent="0.25">
      <c r="A99" s="1">
        <v>44763</v>
      </c>
      <c r="B99">
        <v>307</v>
      </c>
      <c r="C99">
        <v>-40</v>
      </c>
      <c r="D99">
        <v>291.12136129110399</v>
      </c>
      <c r="E99">
        <v>291.12136129110399</v>
      </c>
      <c r="G99">
        <f t="shared" si="2"/>
        <v>-15.878638708896005</v>
      </c>
    </row>
    <row r="100" spans="1:7" x14ac:dyDescent="0.25">
      <c r="A100" s="1">
        <v>44764</v>
      </c>
      <c r="B100">
        <v>304.5</v>
      </c>
      <c r="C100">
        <v>-40</v>
      </c>
      <c r="D100">
        <v>291.12136129110399</v>
      </c>
      <c r="E100">
        <v>291.12136129110399</v>
      </c>
      <c r="G100">
        <f t="shared" si="2"/>
        <v>-13.378638708896005</v>
      </c>
    </row>
    <row r="101" spans="1:7" x14ac:dyDescent="0.25">
      <c r="A101" s="1">
        <v>44767</v>
      </c>
      <c r="B101">
        <v>298.5</v>
      </c>
      <c r="C101">
        <v>-40</v>
      </c>
      <c r="D101">
        <v>291.12136129110399</v>
      </c>
      <c r="E101">
        <v>291.12136129110399</v>
      </c>
      <c r="G101">
        <f t="shared" si="2"/>
        <v>-7.3786387088960055</v>
      </c>
    </row>
    <row r="102" spans="1:7" x14ac:dyDescent="0.25">
      <c r="A102" s="1">
        <v>44768</v>
      </c>
      <c r="B102">
        <v>290</v>
      </c>
      <c r="C102">
        <v>-40</v>
      </c>
      <c r="D102">
        <v>291.12136129110399</v>
      </c>
      <c r="E102">
        <v>291.12136129110399</v>
      </c>
      <c r="G102">
        <f t="shared" si="2"/>
        <v>1.1213612911039945</v>
      </c>
    </row>
    <row r="103" spans="1:7" x14ac:dyDescent="0.25">
      <c r="A103" s="1">
        <v>44769</v>
      </c>
      <c r="B103">
        <v>293.5</v>
      </c>
      <c r="C103">
        <v>-40</v>
      </c>
      <c r="D103">
        <v>291.12136129110399</v>
      </c>
      <c r="E103">
        <v>291.12136129110399</v>
      </c>
      <c r="G103">
        <f t="shared" si="2"/>
        <v>-2.3786387088960055</v>
      </c>
    </row>
    <row r="104" spans="1:7" x14ac:dyDescent="0.25">
      <c r="A104" s="1">
        <v>44770</v>
      </c>
      <c r="B104">
        <v>290</v>
      </c>
      <c r="C104">
        <v>-40</v>
      </c>
      <c r="D104">
        <v>291.12136129110399</v>
      </c>
      <c r="E104">
        <v>291.12136129110399</v>
      </c>
      <c r="G104">
        <f t="shared" si="2"/>
        <v>1.1213612911039945</v>
      </c>
    </row>
    <row r="105" spans="1:7" x14ac:dyDescent="0.25">
      <c r="A105" s="1">
        <v>44771</v>
      </c>
      <c r="B105">
        <v>293</v>
      </c>
      <c r="C105">
        <v>-40</v>
      </c>
      <c r="D105">
        <v>291.12136129110399</v>
      </c>
      <c r="E105">
        <v>291.12136129110399</v>
      </c>
      <c r="G105">
        <f t="shared" si="2"/>
        <v>-1.8786387088960055</v>
      </c>
    </row>
    <row r="106" spans="1:7" x14ac:dyDescent="0.25">
      <c r="A106" s="1">
        <v>44774</v>
      </c>
      <c r="B106">
        <v>286</v>
      </c>
      <c r="C106">
        <v>-40</v>
      </c>
      <c r="D106">
        <v>291.12136129110399</v>
      </c>
      <c r="E106">
        <v>291.12136129110399</v>
      </c>
      <c r="G106">
        <f t="shared" si="2"/>
        <v>5.1213612911039945</v>
      </c>
    </row>
    <row r="107" spans="1:7" x14ac:dyDescent="0.25">
      <c r="A107" s="1">
        <v>44775</v>
      </c>
      <c r="B107">
        <v>284</v>
      </c>
      <c r="C107">
        <v>-40</v>
      </c>
      <c r="D107">
        <v>291.12136129110399</v>
      </c>
      <c r="E107">
        <v>291.12136129110399</v>
      </c>
      <c r="G107">
        <f t="shared" si="2"/>
        <v>7.1213612911039945</v>
      </c>
    </row>
    <row r="108" spans="1:7" x14ac:dyDescent="0.25">
      <c r="A108" s="1">
        <v>44776</v>
      </c>
      <c r="B108">
        <v>283</v>
      </c>
      <c r="C108">
        <v>-40</v>
      </c>
      <c r="D108">
        <v>291.12136129110399</v>
      </c>
      <c r="E108">
        <v>291.12136129110399</v>
      </c>
      <c r="G108">
        <f t="shared" si="2"/>
        <v>8.1213612911039945</v>
      </c>
    </row>
    <row r="109" spans="1:7" x14ac:dyDescent="0.25">
      <c r="A109" s="1">
        <v>44777</v>
      </c>
      <c r="B109">
        <v>287</v>
      </c>
      <c r="C109">
        <v>-40</v>
      </c>
      <c r="D109">
        <v>291.12136129110399</v>
      </c>
      <c r="E109">
        <v>291.12136129110399</v>
      </c>
      <c r="G109">
        <f t="shared" si="2"/>
        <v>4.1213612911039945</v>
      </c>
    </row>
    <row r="110" spans="1:7" x14ac:dyDescent="0.25">
      <c r="A110" s="1">
        <v>44778</v>
      </c>
      <c r="B110">
        <v>294</v>
      </c>
      <c r="C110">
        <v>-40</v>
      </c>
      <c r="D110">
        <v>291.12136129110399</v>
      </c>
      <c r="E110">
        <v>291.12136129110399</v>
      </c>
      <c r="G110">
        <f t="shared" si="2"/>
        <v>-2.8786387088960055</v>
      </c>
    </row>
    <row r="111" spans="1:7" x14ac:dyDescent="0.25">
      <c r="A111" s="1">
        <v>44781</v>
      </c>
      <c r="B111">
        <v>292</v>
      </c>
      <c r="C111">
        <v>-40</v>
      </c>
      <c r="D111">
        <v>291.12136129110399</v>
      </c>
      <c r="E111">
        <v>291.12136129110399</v>
      </c>
      <c r="G111">
        <f t="shared" si="2"/>
        <v>-0.87863870889600548</v>
      </c>
    </row>
    <row r="112" spans="1:7" x14ac:dyDescent="0.25">
      <c r="A112" s="1">
        <v>44782</v>
      </c>
      <c r="B112">
        <v>294</v>
      </c>
      <c r="C112">
        <v>-40</v>
      </c>
      <c r="D112">
        <v>291.12136129110399</v>
      </c>
      <c r="E112">
        <v>291.12136129110399</v>
      </c>
      <c r="G112">
        <f t="shared" si="2"/>
        <v>-2.8786387088960055</v>
      </c>
    </row>
    <row r="113" spans="1:7" x14ac:dyDescent="0.25">
      <c r="A113" s="1">
        <v>44783</v>
      </c>
      <c r="B113">
        <v>292</v>
      </c>
      <c r="C113">
        <v>-40</v>
      </c>
      <c r="D113">
        <v>291.12136129110399</v>
      </c>
      <c r="E113">
        <v>291.12136129110399</v>
      </c>
      <c r="G113">
        <f t="shared" si="2"/>
        <v>-0.87863870889600548</v>
      </c>
    </row>
    <row r="114" spans="1:7" x14ac:dyDescent="0.25">
      <c r="A114" s="1">
        <v>44784</v>
      </c>
      <c r="B114">
        <v>302.5</v>
      </c>
      <c r="C114">
        <v>-40</v>
      </c>
      <c r="D114">
        <v>291.12136129110399</v>
      </c>
      <c r="E114">
        <v>291.12136129110399</v>
      </c>
      <c r="G114">
        <f t="shared" si="2"/>
        <v>-11.378638708896005</v>
      </c>
    </row>
    <row r="115" spans="1:7" x14ac:dyDescent="0.25">
      <c r="A115" s="1">
        <v>44785</v>
      </c>
      <c r="B115">
        <v>309</v>
      </c>
      <c r="C115">
        <v>-40</v>
      </c>
      <c r="D115">
        <v>291.12136129110399</v>
      </c>
      <c r="E115">
        <v>291.12136129110399</v>
      </c>
      <c r="G115">
        <f t="shared" si="2"/>
        <v>-17.878638708896005</v>
      </c>
    </row>
    <row r="116" spans="1:7" x14ac:dyDescent="0.25">
      <c r="A116" s="1">
        <v>44788</v>
      </c>
      <c r="B116">
        <v>312</v>
      </c>
      <c r="C116">
        <v>-40</v>
      </c>
      <c r="D116">
        <v>291.12136129110399</v>
      </c>
      <c r="E116">
        <v>291.12136129110399</v>
      </c>
      <c r="G116">
        <f t="shared" si="2"/>
        <v>-20.878638708896005</v>
      </c>
    </row>
    <row r="117" spans="1:7" x14ac:dyDescent="0.25">
      <c r="A117" s="1">
        <v>44789</v>
      </c>
      <c r="B117">
        <v>307.5</v>
      </c>
      <c r="C117">
        <v>-40</v>
      </c>
      <c r="D117">
        <v>291.12136129110399</v>
      </c>
      <c r="E117">
        <v>291.12136129110399</v>
      </c>
      <c r="G117">
        <f t="shared" si="2"/>
        <v>-16.378638708896005</v>
      </c>
    </row>
    <row r="118" spans="1:7" x14ac:dyDescent="0.25">
      <c r="A118" s="1">
        <v>44790</v>
      </c>
      <c r="B118">
        <v>310.5</v>
      </c>
      <c r="C118">
        <v>-40</v>
      </c>
      <c r="D118">
        <v>291.12136129110399</v>
      </c>
      <c r="E118">
        <v>291.12136129110399</v>
      </c>
      <c r="G118">
        <f t="shared" si="2"/>
        <v>-19.378638708896005</v>
      </c>
    </row>
    <row r="119" spans="1:7" x14ac:dyDescent="0.25">
      <c r="A119" s="1">
        <v>44791</v>
      </c>
      <c r="B119">
        <v>309.5</v>
      </c>
      <c r="C119">
        <v>-40</v>
      </c>
      <c r="D119">
        <v>291.12136129110399</v>
      </c>
      <c r="E119">
        <v>291.12136129110399</v>
      </c>
      <c r="G119">
        <f t="shared" si="2"/>
        <v>-18.378638708896005</v>
      </c>
    </row>
    <row r="120" spans="1:7" x14ac:dyDescent="0.25">
      <c r="A120" s="1">
        <v>44792</v>
      </c>
      <c r="B120">
        <v>314</v>
      </c>
      <c r="C120">
        <v>-40</v>
      </c>
      <c r="D120">
        <v>291.12136129110399</v>
      </c>
      <c r="E120">
        <v>291.12136129110399</v>
      </c>
      <c r="G120">
        <f t="shared" si="2"/>
        <v>-22.878638708896005</v>
      </c>
    </row>
    <row r="121" spans="1:7" x14ac:dyDescent="0.25">
      <c r="A121" s="1">
        <v>44795</v>
      </c>
      <c r="B121">
        <v>310</v>
      </c>
      <c r="C121">
        <v>-40</v>
      </c>
      <c r="D121">
        <v>291.12136129110399</v>
      </c>
      <c r="E121">
        <v>291.12136129110399</v>
      </c>
      <c r="G121">
        <f t="shared" si="2"/>
        <v>-18.878638708896005</v>
      </c>
    </row>
    <row r="122" spans="1:7" x14ac:dyDescent="0.25">
      <c r="A122" s="1">
        <v>44796</v>
      </c>
      <c r="B122">
        <v>304.5</v>
      </c>
      <c r="C122">
        <v>-40</v>
      </c>
      <c r="D122">
        <v>291.12136129110399</v>
      </c>
      <c r="E122">
        <v>291.12136129110399</v>
      </c>
      <c r="G122">
        <f t="shared" si="2"/>
        <v>-13.378638708896005</v>
      </c>
    </row>
    <row r="123" spans="1:7" x14ac:dyDescent="0.25">
      <c r="A123" s="1">
        <v>44797</v>
      </c>
      <c r="B123">
        <v>306</v>
      </c>
      <c r="C123">
        <v>-40</v>
      </c>
      <c r="D123">
        <v>291.12136129110399</v>
      </c>
      <c r="E123">
        <v>291.12136129110399</v>
      </c>
      <c r="G123">
        <f t="shared" si="2"/>
        <v>-14.878638708896005</v>
      </c>
    </row>
    <row r="124" spans="1:7" x14ac:dyDescent="0.25">
      <c r="A124" s="1">
        <v>44798</v>
      </c>
      <c r="B124">
        <v>311</v>
      </c>
      <c r="C124">
        <v>-40</v>
      </c>
      <c r="D124">
        <v>291.12136129110399</v>
      </c>
      <c r="E124">
        <v>291.12136129110399</v>
      </c>
      <c r="G124">
        <f t="shared" si="2"/>
        <v>-19.878638708896005</v>
      </c>
    </row>
    <row r="125" spans="1:7" x14ac:dyDescent="0.25">
      <c r="A125" s="1">
        <v>44799</v>
      </c>
      <c r="B125">
        <v>317</v>
      </c>
      <c r="C125">
        <v>-40</v>
      </c>
      <c r="D125">
        <v>291.12136129110399</v>
      </c>
      <c r="E125">
        <v>291.12136129110399</v>
      </c>
      <c r="G125">
        <f t="shared" si="2"/>
        <v>-25.878638708896005</v>
      </c>
    </row>
    <row r="126" spans="1:7" x14ac:dyDescent="0.25">
      <c r="A126" s="1">
        <v>44802</v>
      </c>
      <c r="B126">
        <v>307.5</v>
      </c>
      <c r="C126">
        <v>-40</v>
      </c>
      <c r="D126">
        <v>291.12136129110399</v>
      </c>
      <c r="E126">
        <v>291.12136129110399</v>
      </c>
      <c r="G126">
        <f t="shared" si="2"/>
        <v>-16.378638708896005</v>
      </c>
    </row>
    <row r="127" spans="1:7" x14ac:dyDescent="0.25">
      <c r="A127" s="1">
        <v>44803</v>
      </c>
      <c r="B127">
        <v>308</v>
      </c>
      <c r="C127">
        <v>-40</v>
      </c>
      <c r="D127">
        <v>291.12136129110399</v>
      </c>
      <c r="E127">
        <v>291.12136129110399</v>
      </c>
      <c r="G127">
        <f t="shared" si="2"/>
        <v>-16.878638708896005</v>
      </c>
    </row>
    <row r="128" spans="1:7" x14ac:dyDescent="0.25">
      <c r="A128" s="1">
        <v>44804</v>
      </c>
      <c r="B128">
        <v>312.5</v>
      </c>
      <c r="C128">
        <v>-40</v>
      </c>
      <c r="D128">
        <v>291.12136129110399</v>
      </c>
      <c r="E128">
        <v>291.12136129110399</v>
      </c>
      <c r="G128">
        <f t="shared" si="2"/>
        <v>-21.378638708896005</v>
      </c>
    </row>
    <row r="129" spans="1:7" x14ac:dyDescent="0.25">
      <c r="A129" s="1">
        <v>44805</v>
      </c>
      <c r="B129">
        <v>303.5</v>
      </c>
      <c r="C129">
        <v>-40</v>
      </c>
      <c r="D129">
        <v>291.12136129110399</v>
      </c>
      <c r="E129">
        <v>291.12136129110399</v>
      </c>
      <c r="G129">
        <f t="shared" si="2"/>
        <v>-12.378638708896005</v>
      </c>
    </row>
    <row r="130" spans="1:7" x14ac:dyDescent="0.25">
      <c r="A130" s="1">
        <v>44806</v>
      </c>
      <c r="B130">
        <v>302</v>
      </c>
      <c r="C130">
        <v>-40</v>
      </c>
      <c r="D130">
        <v>291.12136129110399</v>
      </c>
      <c r="E130">
        <v>291.12136129110399</v>
      </c>
      <c r="G130">
        <f t="shared" si="2"/>
        <v>-10.878638708896005</v>
      </c>
    </row>
    <row r="131" spans="1:7" x14ac:dyDescent="0.25">
      <c r="A131" s="1">
        <v>44809</v>
      </c>
      <c r="B131">
        <v>293</v>
      </c>
      <c r="C131">
        <v>-40</v>
      </c>
      <c r="D131">
        <v>291.12136129110399</v>
      </c>
      <c r="E131">
        <v>291.12136129110399</v>
      </c>
      <c r="G131">
        <f t="shared" si="2"/>
        <v>-1.8786387088960055</v>
      </c>
    </row>
    <row r="132" spans="1:7" x14ac:dyDescent="0.25">
      <c r="A132" s="1">
        <v>44810</v>
      </c>
      <c r="B132">
        <v>297.5</v>
      </c>
      <c r="C132">
        <v>-40</v>
      </c>
      <c r="D132">
        <v>291.12136129110399</v>
      </c>
      <c r="E132">
        <v>291.12136129110399</v>
      </c>
      <c r="G132">
        <f t="shared" ref="G132:G195" si="3">D132-B132</f>
        <v>-6.3786387088960055</v>
      </c>
    </row>
    <row r="133" spans="1:7" x14ac:dyDescent="0.25">
      <c r="A133" s="1">
        <v>44811</v>
      </c>
      <c r="B133">
        <v>293.5</v>
      </c>
      <c r="C133">
        <v>-40</v>
      </c>
      <c r="D133">
        <v>291.12136129110399</v>
      </c>
      <c r="E133">
        <v>291.12136129110399</v>
      </c>
      <c r="G133">
        <f t="shared" si="3"/>
        <v>-2.3786387088960055</v>
      </c>
    </row>
    <row r="134" spans="1:7" x14ac:dyDescent="0.25">
      <c r="A134" s="1">
        <v>44812</v>
      </c>
      <c r="B134">
        <v>301</v>
      </c>
      <c r="C134">
        <v>-40</v>
      </c>
      <c r="D134">
        <v>291.12136129110399</v>
      </c>
      <c r="E134">
        <v>291.12136129110399</v>
      </c>
      <c r="G134">
        <f t="shared" si="3"/>
        <v>-9.8786387088960055</v>
      </c>
    </row>
    <row r="135" spans="1:7" x14ac:dyDescent="0.25">
      <c r="A135" s="1">
        <v>44816</v>
      </c>
      <c r="B135">
        <v>303</v>
      </c>
      <c r="C135">
        <v>-40</v>
      </c>
      <c r="D135">
        <v>291.12136129110399</v>
      </c>
      <c r="E135">
        <v>291.12136129110399</v>
      </c>
      <c r="G135">
        <f t="shared" si="3"/>
        <v>-11.878638708896005</v>
      </c>
    </row>
    <row r="136" spans="1:7" x14ac:dyDescent="0.25">
      <c r="A136" s="1">
        <v>44817</v>
      </c>
      <c r="B136">
        <v>301.5</v>
      </c>
      <c r="C136">
        <v>-40</v>
      </c>
      <c r="D136">
        <v>291.12136129110399</v>
      </c>
      <c r="E136">
        <v>291.12136129110399</v>
      </c>
      <c r="G136">
        <f t="shared" si="3"/>
        <v>-10.378638708896005</v>
      </c>
    </row>
    <row r="137" spans="1:7" x14ac:dyDescent="0.25">
      <c r="A137" s="1">
        <v>44818</v>
      </c>
      <c r="B137">
        <v>298</v>
      </c>
      <c r="C137">
        <v>-40</v>
      </c>
      <c r="D137">
        <v>291.12136129110399</v>
      </c>
      <c r="E137">
        <v>291.12136129110399</v>
      </c>
      <c r="G137">
        <f t="shared" si="3"/>
        <v>-6.8786387088960055</v>
      </c>
    </row>
    <row r="138" spans="1:7" x14ac:dyDescent="0.25">
      <c r="A138" s="1">
        <v>44819</v>
      </c>
      <c r="B138">
        <v>300.5</v>
      </c>
      <c r="C138">
        <v>-40</v>
      </c>
      <c r="D138">
        <v>291.12136129110399</v>
      </c>
      <c r="E138">
        <v>291.12136129110399</v>
      </c>
      <c r="G138">
        <f t="shared" si="3"/>
        <v>-9.3786387088960055</v>
      </c>
    </row>
    <row r="139" spans="1:7" x14ac:dyDescent="0.25">
      <c r="A139" s="1">
        <v>44820</v>
      </c>
      <c r="B139">
        <v>298.5</v>
      </c>
      <c r="C139">
        <v>-40</v>
      </c>
      <c r="D139">
        <v>291.12136129110399</v>
      </c>
      <c r="E139">
        <v>291.12136129110399</v>
      </c>
      <c r="G139">
        <f t="shared" si="3"/>
        <v>-7.3786387088960055</v>
      </c>
    </row>
    <row r="140" spans="1:7" x14ac:dyDescent="0.25">
      <c r="A140" s="1">
        <v>44823</v>
      </c>
      <c r="B140">
        <v>290</v>
      </c>
      <c r="C140">
        <v>-40</v>
      </c>
      <c r="D140">
        <v>291.12136129110399</v>
      </c>
      <c r="E140">
        <v>291.12136129110399</v>
      </c>
      <c r="G140">
        <f t="shared" si="3"/>
        <v>1.1213612911039945</v>
      </c>
    </row>
    <row r="141" spans="1:7" x14ac:dyDescent="0.25">
      <c r="A141" s="1">
        <v>44824</v>
      </c>
      <c r="B141">
        <v>288.5</v>
      </c>
      <c r="C141">
        <v>-40</v>
      </c>
      <c r="D141">
        <v>291.12136129110399</v>
      </c>
      <c r="E141">
        <v>291.12136129110399</v>
      </c>
      <c r="G141">
        <f t="shared" si="3"/>
        <v>2.6213612911039945</v>
      </c>
    </row>
    <row r="142" spans="1:7" x14ac:dyDescent="0.25">
      <c r="A142" s="1">
        <v>44825</v>
      </c>
      <c r="B142">
        <v>275.5</v>
      </c>
      <c r="C142">
        <v>-40</v>
      </c>
      <c r="D142">
        <v>291.12136129110399</v>
      </c>
      <c r="E142">
        <v>291.12136129110399</v>
      </c>
      <c r="G142">
        <f t="shared" si="3"/>
        <v>15.621361291103995</v>
      </c>
    </row>
    <row r="143" spans="1:7" x14ac:dyDescent="0.25">
      <c r="A143" s="1">
        <v>44826</v>
      </c>
      <c r="B143">
        <v>270</v>
      </c>
      <c r="C143">
        <v>-40</v>
      </c>
      <c r="D143">
        <v>291.12136129110399</v>
      </c>
      <c r="E143">
        <v>291.12136129110399</v>
      </c>
      <c r="G143">
        <f t="shared" si="3"/>
        <v>21.121361291103995</v>
      </c>
    </row>
    <row r="144" spans="1:7" x14ac:dyDescent="0.25">
      <c r="A144" s="1">
        <v>44827</v>
      </c>
      <c r="B144">
        <v>268</v>
      </c>
      <c r="C144">
        <v>-40</v>
      </c>
      <c r="D144">
        <v>291.12136129110399</v>
      </c>
      <c r="E144">
        <v>291.12136129110399</v>
      </c>
      <c r="G144">
        <f t="shared" si="3"/>
        <v>23.121361291103995</v>
      </c>
    </row>
    <row r="145" spans="1:7" x14ac:dyDescent="0.25">
      <c r="A145" s="1">
        <v>44830</v>
      </c>
      <c r="B145">
        <v>256</v>
      </c>
      <c r="C145">
        <v>-40</v>
      </c>
      <c r="D145">
        <v>291.12136129110399</v>
      </c>
      <c r="E145">
        <v>291.12136129110399</v>
      </c>
      <c r="G145">
        <f t="shared" si="3"/>
        <v>35.121361291103995</v>
      </c>
    </row>
    <row r="146" spans="1:7" x14ac:dyDescent="0.25">
      <c r="A146" s="1">
        <v>44831</v>
      </c>
      <c r="B146">
        <v>259</v>
      </c>
      <c r="C146">
        <v>-40</v>
      </c>
      <c r="D146">
        <v>291.12136129110399</v>
      </c>
      <c r="E146">
        <v>291.12136129110399</v>
      </c>
      <c r="G146">
        <f t="shared" si="3"/>
        <v>32.121361291103995</v>
      </c>
    </row>
    <row r="147" spans="1:7" x14ac:dyDescent="0.25">
      <c r="A147" s="1">
        <v>44832</v>
      </c>
      <c r="B147">
        <v>251</v>
      </c>
      <c r="C147">
        <v>-40</v>
      </c>
      <c r="D147">
        <v>291.12136129110399</v>
      </c>
      <c r="E147">
        <v>291.12136129110399</v>
      </c>
      <c r="G147">
        <f t="shared" si="3"/>
        <v>40.121361291103995</v>
      </c>
    </row>
    <row r="148" spans="1:7" x14ac:dyDescent="0.25">
      <c r="A148" s="1">
        <v>44833</v>
      </c>
      <c r="B148">
        <v>253.5</v>
      </c>
      <c r="C148">
        <v>-40</v>
      </c>
      <c r="D148">
        <v>291.12136129110399</v>
      </c>
      <c r="E148">
        <v>291.12136129110399</v>
      </c>
      <c r="G148">
        <f t="shared" si="3"/>
        <v>37.621361291103995</v>
      </c>
    </row>
    <row r="149" spans="1:7" x14ac:dyDescent="0.25">
      <c r="A149" s="1">
        <v>44834</v>
      </c>
      <c r="B149">
        <v>265.5</v>
      </c>
      <c r="C149">
        <v>-40</v>
      </c>
      <c r="D149">
        <v>291.12136129110399</v>
      </c>
      <c r="E149">
        <v>291.12136129110399</v>
      </c>
      <c r="G149">
        <f t="shared" si="3"/>
        <v>25.621361291103995</v>
      </c>
    </row>
    <row r="150" spans="1:7" x14ac:dyDescent="0.25">
      <c r="A150" s="1">
        <v>44837</v>
      </c>
      <c r="B150">
        <v>280</v>
      </c>
      <c r="C150">
        <v>-40</v>
      </c>
      <c r="D150">
        <v>291.12136129110399</v>
      </c>
      <c r="E150">
        <v>291.12136129110399</v>
      </c>
      <c r="G150">
        <f t="shared" si="3"/>
        <v>11.121361291103995</v>
      </c>
    </row>
    <row r="151" spans="1:7" x14ac:dyDescent="0.25">
      <c r="A151" s="1">
        <v>44838</v>
      </c>
      <c r="B151">
        <v>282.5</v>
      </c>
      <c r="C151">
        <v>-40</v>
      </c>
      <c r="D151">
        <v>291.12136129110399</v>
      </c>
      <c r="E151">
        <v>291.12136129110399</v>
      </c>
      <c r="G151">
        <f t="shared" si="3"/>
        <v>8.6213612911039945</v>
      </c>
    </row>
    <row r="152" spans="1:7" x14ac:dyDescent="0.25">
      <c r="A152" s="1">
        <v>44839</v>
      </c>
      <c r="B152">
        <v>288</v>
      </c>
      <c r="C152">
        <v>-40</v>
      </c>
      <c r="D152">
        <v>291.12136129110399</v>
      </c>
      <c r="E152">
        <v>291.12136129110399</v>
      </c>
      <c r="G152">
        <f t="shared" si="3"/>
        <v>3.1213612911039945</v>
      </c>
    </row>
    <row r="153" spans="1:7" x14ac:dyDescent="0.25">
      <c r="A153" s="1">
        <v>44840</v>
      </c>
      <c r="B153">
        <v>288.5</v>
      </c>
      <c r="C153">
        <v>-40</v>
      </c>
      <c r="D153">
        <v>291.12136129110399</v>
      </c>
      <c r="E153">
        <v>291.12136129110399</v>
      </c>
      <c r="G153">
        <f t="shared" si="3"/>
        <v>2.6213612911039945</v>
      </c>
    </row>
    <row r="154" spans="1:7" x14ac:dyDescent="0.25">
      <c r="A154" s="1">
        <v>44841</v>
      </c>
      <c r="B154">
        <v>286</v>
      </c>
      <c r="C154">
        <v>-40</v>
      </c>
      <c r="D154">
        <v>291.12136129110399</v>
      </c>
      <c r="E154">
        <v>291.12136129110399</v>
      </c>
      <c r="G154">
        <f t="shared" si="3"/>
        <v>5.1213612911039945</v>
      </c>
    </row>
    <row r="155" spans="1:7" x14ac:dyDescent="0.25">
      <c r="A155" s="1">
        <v>44845</v>
      </c>
      <c r="B155">
        <v>289.5</v>
      </c>
      <c r="C155">
        <v>-40</v>
      </c>
      <c r="D155">
        <v>291.12136129110399</v>
      </c>
      <c r="E155">
        <v>291.12136129110399</v>
      </c>
      <c r="G155">
        <f t="shared" si="3"/>
        <v>1.6213612911039945</v>
      </c>
    </row>
    <row r="156" spans="1:7" x14ac:dyDescent="0.25">
      <c r="A156" s="1">
        <v>44846</v>
      </c>
      <c r="B156">
        <v>311</v>
      </c>
      <c r="C156">
        <v>-40</v>
      </c>
      <c r="D156">
        <v>291.12136129110399</v>
      </c>
      <c r="E156">
        <v>291.12136129110399</v>
      </c>
      <c r="G156">
        <f t="shared" si="3"/>
        <v>-19.878638708896005</v>
      </c>
    </row>
    <row r="157" spans="1:7" x14ac:dyDescent="0.25">
      <c r="A157" s="1">
        <v>44847</v>
      </c>
      <c r="B157">
        <v>298</v>
      </c>
      <c r="C157">
        <v>-40</v>
      </c>
      <c r="D157">
        <v>291.12136129110399</v>
      </c>
      <c r="E157">
        <v>291.12136129110399</v>
      </c>
      <c r="G157">
        <f t="shared" si="3"/>
        <v>-6.8786387088960055</v>
      </c>
    </row>
    <row r="158" spans="1:7" x14ac:dyDescent="0.25">
      <c r="A158" s="1">
        <v>44848</v>
      </c>
      <c r="B158">
        <v>306.5</v>
      </c>
      <c r="C158">
        <v>-40</v>
      </c>
      <c r="D158">
        <v>291.12136129110399</v>
      </c>
      <c r="E158">
        <v>291.12136129110399</v>
      </c>
      <c r="G158">
        <f t="shared" si="3"/>
        <v>-15.378638708896005</v>
      </c>
    </row>
    <row r="159" spans="1:7" x14ac:dyDescent="0.25">
      <c r="A159" s="1">
        <v>44851</v>
      </c>
      <c r="B159">
        <v>304.5</v>
      </c>
      <c r="C159">
        <v>-40</v>
      </c>
      <c r="D159">
        <v>291.12136129110399</v>
      </c>
      <c r="E159">
        <v>291.12136129110399</v>
      </c>
      <c r="G159">
        <f t="shared" si="3"/>
        <v>-13.378638708896005</v>
      </c>
    </row>
    <row r="160" spans="1:7" x14ac:dyDescent="0.25">
      <c r="A160" s="1">
        <v>44852</v>
      </c>
      <c r="B160">
        <v>307.5</v>
      </c>
      <c r="C160">
        <v>-40</v>
      </c>
      <c r="D160">
        <v>291.12136129110399</v>
      </c>
      <c r="E160">
        <v>291.12136129110399</v>
      </c>
      <c r="G160">
        <f t="shared" si="3"/>
        <v>-16.378638708896005</v>
      </c>
    </row>
    <row r="161" spans="1:7" x14ac:dyDescent="0.25">
      <c r="A161" s="1">
        <v>44853</v>
      </c>
      <c r="B161">
        <v>297</v>
      </c>
      <c r="C161">
        <v>-40</v>
      </c>
      <c r="D161">
        <v>291.12136129110399</v>
      </c>
      <c r="E161">
        <v>291.12136129110399</v>
      </c>
      <c r="G161">
        <f t="shared" si="3"/>
        <v>-5.8786387088960055</v>
      </c>
    </row>
    <row r="162" spans="1:7" x14ac:dyDescent="0.25">
      <c r="A162" s="1">
        <v>44854</v>
      </c>
      <c r="B162">
        <v>293.5</v>
      </c>
      <c r="C162">
        <v>-40</v>
      </c>
      <c r="D162">
        <v>291.12136129110399</v>
      </c>
      <c r="E162">
        <v>291.12136129110399</v>
      </c>
      <c r="G162">
        <f t="shared" si="3"/>
        <v>-2.3786387088960055</v>
      </c>
    </row>
    <row r="163" spans="1:7" x14ac:dyDescent="0.25">
      <c r="A163" s="1">
        <v>44855</v>
      </c>
      <c r="B163">
        <v>290</v>
      </c>
      <c r="C163">
        <v>-40</v>
      </c>
      <c r="D163">
        <v>291.12136129110399</v>
      </c>
      <c r="E163">
        <v>291.12136129110399</v>
      </c>
      <c r="G163">
        <f t="shared" si="3"/>
        <v>1.1213612911039945</v>
      </c>
    </row>
    <row r="164" spans="1:7" x14ac:dyDescent="0.25">
      <c r="A164" s="1">
        <v>44858</v>
      </c>
      <c r="B164">
        <v>295</v>
      </c>
      <c r="C164">
        <v>-40</v>
      </c>
      <c r="D164">
        <v>291.12136129110399</v>
      </c>
      <c r="E164">
        <v>291.12136129110399</v>
      </c>
      <c r="G164">
        <f t="shared" si="3"/>
        <v>-3.8786387088960055</v>
      </c>
    </row>
    <row r="165" spans="1:7" x14ac:dyDescent="0.25">
      <c r="A165" s="1">
        <v>44859</v>
      </c>
      <c r="B165">
        <v>285</v>
      </c>
      <c r="C165">
        <v>-40</v>
      </c>
      <c r="D165">
        <v>291.12136129110399</v>
      </c>
      <c r="E165">
        <v>291.12136129110399</v>
      </c>
      <c r="G165">
        <f t="shared" si="3"/>
        <v>6.1213612911039945</v>
      </c>
    </row>
    <row r="166" spans="1:7" x14ac:dyDescent="0.25">
      <c r="A166" s="1">
        <v>44860</v>
      </c>
      <c r="B166">
        <v>285.5</v>
      </c>
      <c r="C166">
        <v>-40</v>
      </c>
      <c r="D166">
        <v>291.12136129110399</v>
      </c>
      <c r="E166">
        <v>291.12136129110399</v>
      </c>
      <c r="G166">
        <f t="shared" si="3"/>
        <v>5.6213612911039945</v>
      </c>
    </row>
    <row r="167" spans="1:7" x14ac:dyDescent="0.25">
      <c r="A167" s="1">
        <v>44861</v>
      </c>
      <c r="B167">
        <v>299</v>
      </c>
      <c r="C167">
        <v>-40</v>
      </c>
      <c r="D167">
        <v>291.12136129110399</v>
      </c>
      <c r="E167">
        <v>291.12136129110399</v>
      </c>
      <c r="G167">
        <f t="shared" si="3"/>
        <v>-7.8786387088960055</v>
      </c>
    </row>
    <row r="168" spans="1:7" x14ac:dyDescent="0.25">
      <c r="A168" s="1">
        <v>44862</v>
      </c>
      <c r="B168">
        <v>292</v>
      </c>
      <c r="C168">
        <v>-40</v>
      </c>
      <c r="D168">
        <v>291.12136129110399</v>
      </c>
      <c r="E168">
        <v>291.12136129110399</v>
      </c>
      <c r="G168">
        <f t="shared" si="3"/>
        <v>-0.87863870889600548</v>
      </c>
    </row>
    <row r="169" spans="1:7" x14ac:dyDescent="0.25">
      <c r="A169" s="1">
        <v>44865</v>
      </c>
      <c r="B169">
        <v>295.5</v>
      </c>
      <c r="C169">
        <v>-40</v>
      </c>
      <c r="D169">
        <v>291.12136129110399</v>
      </c>
      <c r="E169">
        <v>291.12136129110399</v>
      </c>
      <c r="G169">
        <f t="shared" si="3"/>
        <v>-4.3786387088960055</v>
      </c>
    </row>
    <row r="170" spans="1:7" x14ac:dyDescent="0.25">
      <c r="A170" s="1">
        <v>44866</v>
      </c>
      <c r="B170">
        <v>297</v>
      </c>
      <c r="C170">
        <v>-40</v>
      </c>
      <c r="D170">
        <v>291.12136129110399</v>
      </c>
      <c r="E170">
        <v>291.12136129110399</v>
      </c>
      <c r="G170">
        <f t="shared" si="3"/>
        <v>-5.8786387088960055</v>
      </c>
    </row>
    <row r="171" spans="1:7" x14ac:dyDescent="0.25">
      <c r="A171" s="1">
        <v>44867</v>
      </c>
      <c r="B171">
        <v>301.5</v>
      </c>
      <c r="C171">
        <v>-40</v>
      </c>
      <c r="D171">
        <v>291.12136129110399</v>
      </c>
      <c r="E171">
        <v>291.12136129110399</v>
      </c>
      <c r="G171">
        <f t="shared" si="3"/>
        <v>-10.378638708896005</v>
      </c>
    </row>
    <row r="172" spans="1:7" x14ac:dyDescent="0.25">
      <c r="A172" s="1">
        <v>44868</v>
      </c>
      <c r="B172">
        <v>294</v>
      </c>
      <c r="C172">
        <v>-40</v>
      </c>
      <c r="D172">
        <v>291.12136129110399</v>
      </c>
      <c r="E172">
        <v>291.12136129110399</v>
      </c>
      <c r="G172">
        <f t="shared" si="3"/>
        <v>-2.8786387088960055</v>
      </c>
    </row>
    <row r="173" spans="1:7" x14ac:dyDescent="0.25">
      <c r="A173" s="1">
        <v>44869</v>
      </c>
      <c r="B173">
        <v>285.5</v>
      </c>
      <c r="C173">
        <v>-40</v>
      </c>
      <c r="D173">
        <v>291.12136129110399</v>
      </c>
      <c r="E173">
        <v>291.12136129110399</v>
      </c>
      <c r="G173">
        <f t="shared" si="3"/>
        <v>5.6213612911039945</v>
      </c>
    </row>
    <row r="174" spans="1:7" x14ac:dyDescent="0.25">
      <c r="A174" s="1">
        <v>44872</v>
      </c>
      <c r="B174">
        <v>296</v>
      </c>
      <c r="C174">
        <v>-40</v>
      </c>
      <c r="D174">
        <v>291.12136129110399</v>
      </c>
      <c r="E174">
        <v>291.12136129110399</v>
      </c>
      <c r="G174">
        <f t="shared" si="3"/>
        <v>-4.8786387088960055</v>
      </c>
    </row>
    <row r="175" spans="1:7" x14ac:dyDescent="0.25">
      <c r="A175" s="1">
        <v>44873</v>
      </c>
      <c r="B175">
        <v>305</v>
      </c>
      <c r="C175">
        <v>-40</v>
      </c>
      <c r="D175">
        <v>291.12136129110399</v>
      </c>
      <c r="E175">
        <v>291.12136129110399</v>
      </c>
      <c r="G175">
        <f t="shared" si="3"/>
        <v>-13.878638708896005</v>
      </c>
    </row>
    <row r="176" spans="1:7" x14ac:dyDescent="0.25">
      <c r="A176" s="1">
        <v>44874</v>
      </c>
      <c r="B176">
        <v>316.5</v>
      </c>
      <c r="C176">
        <v>-40</v>
      </c>
      <c r="D176">
        <v>291.12136129110399</v>
      </c>
      <c r="E176">
        <v>291.12136129110399</v>
      </c>
      <c r="G176">
        <f t="shared" si="3"/>
        <v>-25.378638708896005</v>
      </c>
    </row>
    <row r="177" spans="1:7" x14ac:dyDescent="0.25">
      <c r="A177" s="1">
        <v>44875</v>
      </c>
      <c r="B177">
        <v>312.5</v>
      </c>
      <c r="C177">
        <v>-40</v>
      </c>
      <c r="D177">
        <v>291.12136129110399</v>
      </c>
      <c r="E177">
        <v>291.12136129110399</v>
      </c>
      <c r="G177">
        <f t="shared" si="3"/>
        <v>-21.378638708896005</v>
      </c>
    </row>
    <row r="178" spans="1:7" x14ac:dyDescent="0.25">
      <c r="A178" s="1">
        <v>44876</v>
      </c>
      <c r="B178">
        <v>325.5</v>
      </c>
      <c r="C178">
        <v>-40</v>
      </c>
      <c r="D178">
        <v>291.12136129110399</v>
      </c>
      <c r="E178">
        <v>291.12136129110399</v>
      </c>
      <c r="G178">
        <f t="shared" si="3"/>
        <v>-34.378638708896005</v>
      </c>
    </row>
    <row r="179" spans="1:7" x14ac:dyDescent="0.25">
      <c r="A179" s="1">
        <v>44879</v>
      </c>
      <c r="B179">
        <v>321</v>
      </c>
      <c r="C179">
        <v>-40</v>
      </c>
      <c r="D179">
        <v>291.12136129110399</v>
      </c>
      <c r="E179">
        <v>291.12136129110399</v>
      </c>
      <c r="G179">
        <f t="shared" si="3"/>
        <v>-29.878638708896005</v>
      </c>
    </row>
    <row r="180" spans="1:7" x14ac:dyDescent="0.25">
      <c r="A180" s="1">
        <v>44880</v>
      </c>
      <c r="B180">
        <v>325.5</v>
      </c>
      <c r="C180">
        <v>-40</v>
      </c>
      <c r="D180">
        <v>291.12136129110399</v>
      </c>
      <c r="E180">
        <v>291.12136129110399</v>
      </c>
      <c r="G180">
        <f t="shared" si="3"/>
        <v>-34.378638708896005</v>
      </c>
    </row>
    <row r="181" spans="1:7" x14ac:dyDescent="0.25">
      <c r="A181" s="1">
        <v>44881</v>
      </c>
      <c r="B181">
        <v>338.5</v>
      </c>
      <c r="C181">
        <v>-10</v>
      </c>
      <c r="D181">
        <v>359.84061146439097</v>
      </c>
      <c r="E181">
        <v>359.84061146439097</v>
      </c>
      <c r="G181">
        <f t="shared" si="3"/>
        <v>21.340611464390975</v>
      </c>
    </row>
    <row r="182" spans="1:7" x14ac:dyDescent="0.25">
      <c r="A182" s="1">
        <v>44882</v>
      </c>
      <c r="B182" s="7">
        <v>336.5</v>
      </c>
      <c r="C182" s="7">
        <v>-10</v>
      </c>
      <c r="D182" s="7">
        <v>359.84061146439097</v>
      </c>
      <c r="E182" s="7">
        <v>359.84061146439097</v>
      </c>
      <c r="F182">
        <v>336</v>
      </c>
      <c r="G182">
        <f t="shared" si="3"/>
        <v>23.340611464390975</v>
      </c>
    </row>
    <row r="183" spans="1:7" x14ac:dyDescent="0.25">
      <c r="A183" s="1">
        <v>44883</v>
      </c>
      <c r="B183">
        <v>339</v>
      </c>
      <c r="C183">
        <v>-10</v>
      </c>
      <c r="D183">
        <v>359.84061146439097</v>
      </c>
      <c r="E183">
        <v>359.84061146439097</v>
      </c>
      <c r="G183">
        <f t="shared" si="3"/>
        <v>20.840611464390975</v>
      </c>
    </row>
    <row r="184" spans="1:7" x14ac:dyDescent="0.25">
      <c r="A184" s="1">
        <v>44886</v>
      </c>
      <c r="B184">
        <v>329.5</v>
      </c>
      <c r="C184">
        <v>-10</v>
      </c>
      <c r="D184">
        <v>359.84061146439097</v>
      </c>
      <c r="E184">
        <v>359.84061146439097</v>
      </c>
      <c r="G184">
        <f t="shared" si="3"/>
        <v>30.340611464390975</v>
      </c>
    </row>
    <row r="185" spans="1:7" x14ac:dyDescent="0.25">
      <c r="A185" s="1">
        <v>44887</v>
      </c>
      <c r="B185">
        <v>333.5</v>
      </c>
      <c r="C185">
        <v>-10</v>
      </c>
      <c r="D185">
        <v>359.84061146439097</v>
      </c>
      <c r="E185">
        <v>359.84061146439097</v>
      </c>
      <c r="G185">
        <f t="shared" si="3"/>
        <v>26.340611464390975</v>
      </c>
    </row>
    <row r="186" spans="1:7" x14ac:dyDescent="0.25">
      <c r="A186" s="1">
        <v>44888</v>
      </c>
      <c r="B186">
        <v>328.5</v>
      </c>
      <c r="C186">
        <v>-10</v>
      </c>
      <c r="D186">
        <v>359.84061146439097</v>
      </c>
      <c r="E186">
        <v>359.84061146439097</v>
      </c>
      <c r="G186">
        <f t="shared" si="3"/>
        <v>31.340611464390975</v>
      </c>
    </row>
    <row r="187" spans="1:7" x14ac:dyDescent="0.25">
      <c r="A187" s="1">
        <v>44889</v>
      </c>
      <c r="B187">
        <v>337</v>
      </c>
      <c r="C187">
        <v>-10</v>
      </c>
      <c r="D187">
        <v>359.84061146439097</v>
      </c>
      <c r="E187">
        <v>359.84061146439097</v>
      </c>
      <c r="G187">
        <f t="shared" si="3"/>
        <v>22.840611464390975</v>
      </c>
    </row>
    <row r="188" spans="1:7" x14ac:dyDescent="0.25">
      <c r="A188" s="1">
        <v>44890</v>
      </c>
      <c r="B188">
        <v>330.5</v>
      </c>
      <c r="C188">
        <v>-10</v>
      </c>
      <c r="D188">
        <v>359.84061146439097</v>
      </c>
      <c r="E188">
        <v>359.84061146439097</v>
      </c>
      <c r="G188">
        <f t="shared" si="3"/>
        <v>29.340611464390975</v>
      </c>
    </row>
    <row r="189" spans="1:7" x14ac:dyDescent="0.25">
      <c r="A189" s="1">
        <v>44893</v>
      </c>
      <c r="B189">
        <v>329.5</v>
      </c>
      <c r="C189">
        <v>-10</v>
      </c>
      <c r="D189">
        <v>359.84061146439097</v>
      </c>
      <c r="E189">
        <v>359.84061146439097</v>
      </c>
      <c r="G189">
        <f t="shared" si="3"/>
        <v>30.340611464390975</v>
      </c>
    </row>
    <row r="190" spans="1:7" x14ac:dyDescent="0.25">
      <c r="A190" s="1">
        <v>44894</v>
      </c>
      <c r="B190">
        <v>326.5</v>
      </c>
      <c r="C190">
        <v>20</v>
      </c>
      <c r="D190">
        <v>428.55986163767699</v>
      </c>
      <c r="E190">
        <v>428.55986163767699</v>
      </c>
      <c r="G190">
        <f t="shared" si="3"/>
        <v>102.05986163767699</v>
      </c>
    </row>
    <row r="191" spans="1:7" x14ac:dyDescent="0.25">
      <c r="A191" s="1">
        <v>44895</v>
      </c>
      <c r="B191">
        <v>326.5</v>
      </c>
      <c r="C191">
        <v>20</v>
      </c>
      <c r="D191">
        <v>428.55986163767699</v>
      </c>
      <c r="E191">
        <v>428.55986163767699</v>
      </c>
      <c r="G191">
        <f t="shared" si="3"/>
        <v>102.05986163767699</v>
      </c>
    </row>
    <row r="192" spans="1:7" x14ac:dyDescent="0.25">
      <c r="A192" s="1">
        <v>44896</v>
      </c>
      <c r="B192">
        <v>337</v>
      </c>
      <c r="C192">
        <v>20</v>
      </c>
      <c r="D192">
        <v>428.55986163767699</v>
      </c>
      <c r="E192">
        <v>428.55986163767699</v>
      </c>
      <c r="G192">
        <f t="shared" si="3"/>
        <v>91.559861637676988</v>
      </c>
    </row>
    <row r="193" spans="1:7" x14ac:dyDescent="0.25">
      <c r="A193" s="1">
        <v>44897</v>
      </c>
      <c r="B193">
        <v>335</v>
      </c>
      <c r="C193">
        <v>20</v>
      </c>
      <c r="D193">
        <v>428.55986163767699</v>
      </c>
      <c r="E193">
        <v>428.55986163767699</v>
      </c>
      <c r="G193">
        <f t="shared" si="3"/>
        <v>93.559861637676988</v>
      </c>
    </row>
    <row r="194" spans="1:7" x14ac:dyDescent="0.25">
      <c r="A194" s="1">
        <v>44900</v>
      </c>
      <c r="B194">
        <v>335</v>
      </c>
      <c r="C194">
        <v>20</v>
      </c>
      <c r="D194">
        <v>428.55986163767699</v>
      </c>
      <c r="E194">
        <v>428.55986163767699</v>
      </c>
      <c r="G194">
        <f t="shared" si="3"/>
        <v>93.559861637676988</v>
      </c>
    </row>
    <row r="195" spans="1:7" x14ac:dyDescent="0.25">
      <c r="A195" s="1">
        <v>44901</v>
      </c>
      <c r="B195">
        <v>307</v>
      </c>
      <c r="C195">
        <v>-22</v>
      </c>
      <c r="D195">
        <v>332.35291139507598</v>
      </c>
      <c r="E195">
        <v>332.35291139507598</v>
      </c>
      <c r="G195">
        <f t="shared" si="3"/>
        <v>25.352911395075978</v>
      </c>
    </row>
    <row r="196" spans="1:7" x14ac:dyDescent="0.25">
      <c r="A196" s="1">
        <v>44902</v>
      </c>
      <c r="B196">
        <v>303</v>
      </c>
      <c r="C196">
        <v>-22</v>
      </c>
      <c r="D196">
        <v>332.35291139507598</v>
      </c>
      <c r="E196">
        <v>332.35291139507598</v>
      </c>
      <c r="G196">
        <f t="shared" ref="G196:G233" si="4">D196-B196</f>
        <v>29.352911395075978</v>
      </c>
    </row>
    <row r="197" spans="1:7" x14ac:dyDescent="0.25">
      <c r="A197" s="1">
        <v>44903</v>
      </c>
      <c r="B197">
        <v>307.5</v>
      </c>
      <c r="C197">
        <v>-22</v>
      </c>
      <c r="D197">
        <v>332.35291139507598</v>
      </c>
      <c r="E197">
        <v>332.35291139507598</v>
      </c>
      <c r="G197">
        <f t="shared" si="4"/>
        <v>24.852911395075978</v>
      </c>
    </row>
    <row r="198" spans="1:7" x14ac:dyDescent="0.25">
      <c r="A198" s="1">
        <v>44904</v>
      </c>
      <c r="B198">
        <v>313</v>
      </c>
      <c r="C198">
        <v>-22</v>
      </c>
      <c r="D198">
        <v>332.35291139507598</v>
      </c>
      <c r="E198">
        <v>332.35291139507598</v>
      </c>
      <c r="G198">
        <f t="shared" si="4"/>
        <v>19.352911395075978</v>
      </c>
    </row>
    <row r="199" spans="1:7" x14ac:dyDescent="0.25">
      <c r="A199" s="1">
        <v>44907</v>
      </c>
      <c r="B199">
        <v>319</v>
      </c>
      <c r="C199">
        <v>-22</v>
      </c>
      <c r="D199">
        <v>332.35291139507598</v>
      </c>
      <c r="E199">
        <v>332.35291139507598</v>
      </c>
      <c r="G199">
        <f t="shared" si="4"/>
        <v>13.352911395075978</v>
      </c>
    </row>
    <row r="200" spans="1:7" x14ac:dyDescent="0.25">
      <c r="A200" s="1">
        <v>44908</v>
      </c>
      <c r="B200">
        <v>311</v>
      </c>
      <c r="C200">
        <v>-22</v>
      </c>
      <c r="D200">
        <v>332.35291139507598</v>
      </c>
      <c r="E200">
        <v>332.35291139507598</v>
      </c>
      <c r="G200">
        <f t="shared" si="4"/>
        <v>21.352911395075978</v>
      </c>
    </row>
    <row r="201" spans="1:7" x14ac:dyDescent="0.25">
      <c r="A201" s="1">
        <v>44909</v>
      </c>
      <c r="B201">
        <v>310.5</v>
      </c>
      <c r="C201">
        <v>-22</v>
      </c>
      <c r="D201">
        <v>332.35291139507598</v>
      </c>
      <c r="E201">
        <v>332.35291139507598</v>
      </c>
      <c r="G201">
        <f t="shared" si="4"/>
        <v>21.852911395075978</v>
      </c>
    </row>
    <row r="202" spans="1:7" x14ac:dyDescent="0.25">
      <c r="A202" s="1">
        <v>44910</v>
      </c>
      <c r="B202">
        <v>313.5</v>
      </c>
      <c r="C202">
        <v>-22</v>
      </c>
      <c r="D202">
        <v>332.35291139507598</v>
      </c>
      <c r="E202">
        <v>332.35291139507598</v>
      </c>
      <c r="G202">
        <f t="shared" si="4"/>
        <v>18.852911395075978</v>
      </c>
    </row>
    <row r="203" spans="1:7" x14ac:dyDescent="0.25">
      <c r="A203" s="1">
        <v>44911</v>
      </c>
      <c r="B203">
        <v>306.5</v>
      </c>
      <c r="C203">
        <v>-22</v>
      </c>
      <c r="D203">
        <v>332.35291139507598</v>
      </c>
      <c r="E203">
        <v>332.35291139507598</v>
      </c>
      <c r="G203">
        <f t="shared" si="4"/>
        <v>25.852911395075978</v>
      </c>
    </row>
    <row r="204" spans="1:7" x14ac:dyDescent="0.25">
      <c r="A204" s="1">
        <v>44914</v>
      </c>
      <c r="B204">
        <v>313.5</v>
      </c>
      <c r="C204">
        <v>-22</v>
      </c>
      <c r="D204">
        <v>332.35291139507598</v>
      </c>
      <c r="E204">
        <v>332.35291139507598</v>
      </c>
      <c r="G204">
        <f t="shared" si="4"/>
        <v>18.852911395075978</v>
      </c>
    </row>
    <row r="205" spans="1:7" x14ac:dyDescent="0.25">
      <c r="A205" s="1">
        <v>44915</v>
      </c>
      <c r="B205">
        <v>307.5</v>
      </c>
      <c r="C205">
        <v>-22</v>
      </c>
      <c r="D205">
        <v>332.35291139507598</v>
      </c>
      <c r="E205">
        <v>332.35291139507598</v>
      </c>
      <c r="G205">
        <f t="shared" si="4"/>
        <v>24.852911395075978</v>
      </c>
    </row>
    <row r="206" spans="1:7" x14ac:dyDescent="0.25">
      <c r="A206" s="1">
        <v>44916</v>
      </c>
      <c r="B206">
        <v>305</v>
      </c>
      <c r="C206">
        <v>-22</v>
      </c>
      <c r="D206">
        <v>332.35291139507598</v>
      </c>
      <c r="E206">
        <v>332.35291139507598</v>
      </c>
      <c r="G206">
        <f t="shared" si="4"/>
        <v>27.352911395075978</v>
      </c>
    </row>
    <row r="207" spans="1:7" x14ac:dyDescent="0.25">
      <c r="A207" s="1">
        <v>44917</v>
      </c>
      <c r="B207">
        <v>307.5</v>
      </c>
      <c r="C207">
        <v>-22</v>
      </c>
      <c r="D207">
        <v>332.35291139507598</v>
      </c>
      <c r="E207">
        <v>332.35291139507598</v>
      </c>
      <c r="G207">
        <f t="shared" si="4"/>
        <v>24.852911395075978</v>
      </c>
    </row>
    <row r="208" spans="1:7" x14ac:dyDescent="0.25">
      <c r="A208" s="1">
        <v>44918</v>
      </c>
      <c r="B208">
        <v>305</v>
      </c>
      <c r="C208">
        <v>-22</v>
      </c>
      <c r="D208">
        <v>332.35291139507598</v>
      </c>
      <c r="E208">
        <v>332.35291139507598</v>
      </c>
      <c r="G208">
        <f t="shared" si="4"/>
        <v>27.352911395075978</v>
      </c>
    </row>
    <row r="209" spans="1:7" x14ac:dyDescent="0.25">
      <c r="A209" s="1">
        <v>44921</v>
      </c>
      <c r="B209">
        <v>305.5</v>
      </c>
      <c r="C209">
        <v>-22</v>
      </c>
      <c r="D209">
        <v>332.35291139507598</v>
      </c>
      <c r="E209">
        <v>332.35291139507598</v>
      </c>
      <c r="G209">
        <f t="shared" si="4"/>
        <v>26.852911395075978</v>
      </c>
    </row>
    <row r="210" spans="1:7" x14ac:dyDescent="0.25">
      <c r="A210" s="1">
        <v>44922</v>
      </c>
      <c r="B210">
        <v>315.5</v>
      </c>
      <c r="C210">
        <v>-22</v>
      </c>
      <c r="D210">
        <v>332.35291139507598</v>
      </c>
      <c r="E210">
        <v>332.35291139507598</v>
      </c>
      <c r="G210">
        <f t="shared" si="4"/>
        <v>16.852911395075978</v>
      </c>
    </row>
    <row r="211" spans="1:7" x14ac:dyDescent="0.25">
      <c r="A211" s="1">
        <v>44923</v>
      </c>
      <c r="B211">
        <v>310.5</v>
      </c>
      <c r="C211">
        <v>-22</v>
      </c>
      <c r="D211">
        <v>332.35291139507598</v>
      </c>
      <c r="E211">
        <v>332.35291139507598</v>
      </c>
      <c r="G211">
        <f t="shared" si="4"/>
        <v>21.852911395075978</v>
      </c>
    </row>
    <row r="212" spans="1:7" x14ac:dyDescent="0.25">
      <c r="A212" s="1">
        <v>44924</v>
      </c>
      <c r="B212">
        <v>316.5</v>
      </c>
      <c r="C212">
        <v>-22</v>
      </c>
      <c r="D212">
        <v>332.35291139507598</v>
      </c>
      <c r="E212">
        <v>332.35291139507598</v>
      </c>
      <c r="G212">
        <f t="shared" si="4"/>
        <v>15.852911395075978</v>
      </c>
    </row>
    <row r="213" spans="1:7" x14ac:dyDescent="0.25">
      <c r="A213" s="1">
        <v>44925</v>
      </c>
      <c r="B213">
        <v>315</v>
      </c>
      <c r="C213">
        <v>-22</v>
      </c>
      <c r="D213">
        <v>332.35291139507598</v>
      </c>
      <c r="E213">
        <v>332.35291139507598</v>
      </c>
      <c r="G213">
        <f t="shared" si="4"/>
        <v>17.352911395075978</v>
      </c>
    </row>
    <row r="214" spans="1:7" x14ac:dyDescent="0.25">
      <c r="A214" s="1">
        <v>44929</v>
      </c>
      <c r="B214">
        <v>325</v>
      </c>
      <c r="C214">
        <v>-10</v>
      </c>
      <c r="D214">
        <v>359.84061146439097</v>
      </c>
      <c r="E214">
        <v>359.84061146439097</v>
      </c>
      <c r="G214">
        <f t="shared" si="4"/>
        <v>34.840611464390975</v>
      </c>
    </row>
    <row r="215" spans="1:7" x14ac:dyDescent="0.25">
      <c r="A215" s="1">
        <v>44930</v>
      </c>
      <c r="B215">
        <v>327</v>
      </c>
      <c r="C215">
        <v>-10</v>
      </c>
      <c r="D215">
        <v>359.84061146439097</v>
      </c>
      <c r="E215">
        <v>359.84061146439097</v>
      </c>
      <c r="G215">
        <f t="shared" si="4"/>
        <v>32.840611464390975</v>
      </c>
    </row>
    <row r="216" spans="1:7" x14ac:dyDescent="0.25">
      <c r="A216" s="1">
        <v>44931</v>
      </c>
      <c r="B216">
        <v>335.5</v>
      </c>
      <c r="C216">
        <v>-10</v>
      </c>
      <c r="D216">
        <v>359.84061146439097</v>
      </c>
      <c r="E216">
        <v>359.84061146439097</v>
      </c>
      <c r="G216">
        <f t="shared" si="4"/>
        <v>24.340611464390975</v>
      </c>
    </row>
    <row r="217" spans="1:7" x14ac:dyDescent="0.25">
      <c r="A217" s="1">
        <v>44932</v>
      </c>
      <c r="B217">
        <v>351</v>
      </c>
      <c r="C217">
        <v>-10</v>
      </c>
      <c r="D217">
        <v>359.84061146439097</v>
      </c>
      <c r="E217">
        <v>359.84061146439097</v>
      </c>
      <c r="G217">
        <f t="shared" si="4"/>
        <v>8.8406114643909746</v>
      </c>
    </row>
    <row r="218" spans="1:7" x14ac:dyDescent="0.25">
      <c r="A218" s="1">
        <v>44935</v>
      </c>
      <c r="B218">
        <v>349</v>
      </c>
      <c r="C218">
        <v>-10</v>
      </c>
      <c r="D218">
        <v>359.84061146439097</v>
      </c>
      <c r="E218">
        <v>359.84061146439097</v>
      </c>
      <c r="G218">
        <f t="shared" si="4"/>
        <v>10.840611464390975</v>
      </c>
    </row>
    <row r="219" spans="1:7" x14ac:dyDescent="0.25">
      <c r="A219" s="1">
        <v>44936</v>
      </c>
      <c r="B219">
        <v>354</v>
      </c>
      <c r="C219">
        <v>-10</v>
      </c>
      <c r="D219">
        <v>359.84061146439097</v>
      </c>
      <c r="E219">
        <v>359.84061146439097</v>
      </c>
      <c r="G219">
        <f t="shared" si="4"/>
        <v>5.8406114643909746</v>
      </c>
    </row>
    <row r="220" spans="1:7" x14ac:dyDescent="0.25">
      <c r="A220" s="1">
        <v>44937</v>
      </c>
      <c r="B220">
        <v>362.5</v>
      </c>
      <c r="C220">
        <v>-8</v>
      </c>
      <c r="D220">
        <v>364.42189480927601</v>
      </c>
      <c r="E220">
        <v>364.42189480927601</v>
      </c>
      <c r="G220">
        <f t="shared" si="4"/>
        <v>1.9218948092760115</v>
      </c>
    </row>
    <row r="221" spans="1:7" x14ac:dyDescent="0.25">
      <c r="A221" s="1">
        <v>44938</v>
      </c>
      <c r="B221">
        <v>355</v>
      </c>
      <c r="C221">
        <v>-8</v>
      </c>
      <c r="D221">
        <v>364.42189480927601</v>
      </c>
      <c r="E221">
        <v>364.42189480927601</v>
      </c>
      <c r="G221">
        <f t="shared" si="4"/>
        <v>9.4218948092760115</v>
      </c>
    </row>
    <row r="222" spans="1:7" x14ac:dyDescent="0.25">
      <c r="A222" s="1">
        <v>44939</v>
      </c>
      <c r="B222">
        <v>348.5</v>
      </c>
      <c r="C222">
        <v>-8</v>
      </c>
      <c r="D222">
        <v>364.42189480927601</v>
      </c>
      <c r="E222">
        <v>364.42189480927601</v>
      </c>
      <c r="G222">
        <f t="shared" si="4"/>
        <v>15.921894809276012</v>
      </c>
    </row>
    <row r="223" spans="1:7" x14ac:dyDescent="0.25">
      <c r="A223" s="1">
        <v>44942</v>
      </c>
      <c r="B223">
        <v>354.5</v>
      </c>
      <c r="C223">
        <v>-8</v>
      </c>
      <c r="D223">
        <v>364.42189480927601</v>
      </c>
      <c r="E223">
        <v>364.42189480927601</v>
      </c>
      <c r="G223">
        <f t="shared" si="4"/>
        <v>9.9218948092760115</v>
      </c>
    </row>
    <row r="224" spans="1:7" x14ac:dyDescent="0.25">
      <c r="A224" s="1">
        <v>44943</v>
      </c>
      <c r="B224">
        <v>356.5</v>
      </c>
      <c r="C224">
        <v>-8</v>
      </c>
      <c r="D224">
        <v>364.42189480927601</v>
      </c>
      <c r="E224">
        <v>364.42189480927601</v>
      </c>
      <c r="G224">
        <f t="shared" si="4"/>
        <v>7.9218948092760115</v>
      </c>
    </row>
    <row r="225" spans="1:7" x14ac:dyDescent="0.25">
      <c r="A225" s="3">
        <v>44956</v>
      </c>
      <c r="B225" s="4">
        <v>365</v>
      </c>
      <c r="C225" s="4">
        <v>-8</v>
      </c>
      <c r="D225" s="4">
        <v>364.42189480927601</v>
      </c>
      <c r="E225" s="4">
        <v>364.42189480927601</v>
      </c>
      <c r="G225">
        <f t="shared" si="4"/>
        <v>-0.57810519072398847</v>
      </c>
    </row>
    <row r="226" spans="1:7" x14ac:dyDescent="0.25">
      <c r="A226" s="1">
        <v>44957</v>
      </c>
      <c r="B226">
        <v>371</v>
      </c>
      <c r="C226">
        <v>-8</v>
      </c>
      <c r="D226">
        <v>364.42189480927601</v>
      </c>
      <c r="E226">
        <v>364.42189480927601</v>
      </c>
      <c r="F226">
        <f>364-336</f>
        <v>28</v>
      </c>
      <c r="G226">
        <f t="shared" si="4"/>
        <v>-6.5781051907239885</v>
      </c>
    </row>
    <row r="227" spans="1:7" x14ac:dyDescent="0.25">
      <c r="A227" s="1">
        <v>44958</v>
      </c>
      <c r="B227">
        <v>368</v>
      </c>
      <c r="C227">
        <v>-8</v>
      </c>
      <c r="D227">
        <v>364.42189480927601</v>
      </c>
      <c r="E227">
        <v>364.42189480927601</v>
      </c>
      <c r="G227">
        <f t="shared" si="4"/>
        <v>-3.5781051907239885</v>
      </c>
    </row>
    <row r="228" spans="1:7" x14ac:dyDescent="0.25">
      <c r="A228" s="1">
        <v>44959</v>
      </c>
      <c r="B228">
        <v>369</v>
      </c>
      <c r="C228">
        <v>-8</v>
      </c>
      <c r="D228">
        <v>364.42189480927601</v>
      </c>
      <c r="E228">
        <v>364.42189480927601</v>
      </c>
      <c r="G228">
        <f t="shared" si="4"/>
        <v>-4.5781051907239885</v>
      </c>
    </row>
    <row r="229" spans="1:7" x14ac:dyDescent="0.25">
      <c r="A229" s="1">
        <v>44960</v>
      </c>
      <c r="B229">
        <v>368</v>
      </c>
      <c r="C229">
        <v>-8</v>
      </c>
      <c r="D229">
        <v>364.42189480927601</v>
      </c>
      <c r="E229">
        <v>364.42189480927601</v>
      </c>
      <c r="G229">
        <f t="shared" si="4"/>
        <v>-3.5781051907239885</v>
      </c>
    </row>
    <row r="230" spans="1:7" x14ac:dyDescent="0.25">
      <c r="A230" s="1">
        <v>44963</v>
      </c>
      <c r="B230">
        <v>364</v>
      </c>
      <c r="C230">
        <v>-8</v>
      </c>
      <c r="D230">
        <v>364.42189480927601</v>
      </c>
      <c r="E230">
        <v>364.42189480927601</v>
      </c>
      <c r="G230">
        <f t="shared" si="4"/>
        <v>0.42189480927601153</v>
      </c>
    </row>
    <row r="231" spans="1:7" x14ac:dyDescent="0.25">
      <c r="A231" s="1">
        <v>44964</v>
      </c>
      <c r="B231">
        <v>359</v>
      </c>
      <c r="C231">
        <v>-8</v>
      </c>
      <c r="D231">
        <v>364.42189480927601</v>
      </c>
      <c r="E231">
        <v>364.42189480927601</v>
      </c>
      <c r="G231">
        <f t="shared" si="4"/>
        <v>5.4218948092760115</v>
      </c>
    </row>
    <row r="232" spans="1:7" x14ac:dyDescent="0.25">
      <c r="A232" s="1">
        <v>44965</v>
      </c>
      <c r="B232">
        <v>370.5</v>
      </c>
      <c r="C232">
        <v>-8</v>
      </c>
      <c r="D232">
        <v>364.42189480927601</v>
      </c>
      <c r="E232">
        <v>364.42189480927601</v>
      </c>
      <c r="G232">
        <f t="shared" si="4"/>
        <v>-6.0781051907239885</v>
      </c>
    </row>
    <row r="233" spans="1:7" x14ac:dyDescent="0.25">
      <c r="A233" s="1">
        <v>44966</v>
      </c>
      <c r="B233">
        <v>360.5</v>
      </c>
      <c r="C233">
        <v>-8</v>
      </c>
      <c r="D233">
        <v>364.42189480927601</v>
      </c>
      <c r="E233">
        <v>364.42189480927601</v>
      </c>
      <c r="G233">
        <f t="shared" si="4"/>
        <v>3.9218948092760115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4"/>
  <sheetViews>
    <sheetView tabSelected="1" topLeftCell="A139" workbookViewId="0">
      <selection activeCell="J225" sqref="J225"/>
    </sheetView>
  </sheetViews>
  <sheetFormatPr defaultRowHeight="16.5" x14ac:dyDescent="0.25"/>
  <cols>
    <col min="1" max="1" width="10.5" bestFit="1" customWidth="1"/>
  </cols>
  <sheetData>
    <row r="1" spans="1:10" x14ac:dyDescent="0.25">
      <c r="A1" t="s">
        <v>0</v>
      </c>
      <c r="B1">
        <v>8299</v>
      </c>
      <c r="C1" t="s">
        <v>1</v>
      </c>
      <c r="D1" t="s">
        <v>2</v>
      </c>
      <c r="J1" t="s">
        <v>4</v>
      </c>
    </row>
    <row r="2" spans="1:10" x14ac:dyDescent="0.25">
      <c r="A2" s="1">
        <v>44622</v>
      </c>
      <c r="B2">
        <v>520</v>
      </c>
      <c r="C2">
        <v>0</v>
      </c>
      <c r="D2">
        <v>382.747028188819</v>
      </c>
      <c r="E2">
        <v>0</v>
      </c>
      <c r="F2">
        <f>D4-D3</f>
        <v>0</v>
      </c>
      <c r="G2">
        <f>D2-B2</f>
        <v>-137.252971811181</v>
      </c>
      <c r="H2">
        <v>0</v>
      </c>
    </row>
    <row r="3" spans="1:10" x14ac:dyDescent="0.25">
      <c r="A3" s="1">
        <v>44623</v>
      </c>
      <c r="B3">
        <v>528</v>
      </c>
      <c r="C3">
        <v>24</v>
      </c>
      <c r="D3">
        <v>437.72242832744899</v>
      </c>
      <c r="E3">
        <f>D3-B3</f>
        <v>-90.277571672551005</v>
      </c>
      <c r="F3" s="2">
        <f>D3-D2</f>
        <v>54.975400138629993</v>
      </c>
      <c r="G3" s="2">
        <f>D3-B3</f>
        <v>-90.277571672551005</v>
      </c>
      <c r="H3">
        <f>IF(E3&lt;0,-1,1)</f>
        <v>-1</v>
      </c>
      <c r="I3">
        <f>H2+H3</f>
        <v>-1</v>
      </c>
    </row>
    <row r="4" spans="1:10" x14ac:dyDescent="0.25">
      <c r="A4" s="3">
        <v>44624</v>
      </c>
      <c r="B4" s="4">
        <v>513</v>
      </c>
      <c r="C4" s="4">
        <v>24</v>
      </c>
      <c r="D4" s="4">
        <v>437.72242832744899</v>
      </c>
      <c r="E4">
        <f t="shared" ref="E4:E67" si="0">D4-B4</f>
        <v>-75.277571672551005</v>
      </c>
      <c r="F4">
        <f t="shared" ref="F4:F67" si="1">D4-D3</f>
        <v>0</v>
      </c>
      <c r="G4">
        <f t="shared" ref="G3:G66" si="2">D4-B4</f>
        <v>-75.277571672551005</v>
      </c>
      <c r="H4">
        <f>IF(E4&lt;0,-1,1)</f>
        <v>-1</v>
      </c>
      <c r="I4">
        <f>H3+H4</f>
        <v>-2</v>
      </c>
      <c r="J4">
        <v>-1</v>
      </c>
    </row>
    <row r="5" spans="1:10" x14ac:dyDescent="0.25">
      <c r="A5" s="1">
        <v>44627</v>
      </c>
      <c r="B5">
        <v>487.5</v>
      </c>
      <c r="C5">
        <v>24</v>
      </c>
      <c r="D5">
        <v>437.72242832744899</v>
      </c>
      <c r="E5">
        <f t="shared" si="0"/>
        <v>-49.777571672551005</v>
      </c>
      <c r="F5">
        <f t="shared" si="1"/>
        <v>0</v>
      </c>
      <c r="G5">
        <f t="shared" si="2"/>
        <v>-49.777571672551005</v>
      </c>
      <c r="H5">
        <f>IF(E5&lt;0,-1,1)</f>
        <v>-1</v>
      </c>
      <c r="I5">
        <f>H4+H5</f>
        <v>-2</v>
      </c>
      <c r="J5">
        <v>-1</v>
      </c>
    </row>
    <row r="6" spans="1:10" x14ac:dyDescent="0.25">
      <c r="A6" s="1">
        <v>44628</v>
      </c>
      <c r="B6">
        <v>472</v>
      </c>
      <c r="C6">
        <v>24</v>
      </c>
      <c r="D6">
        <v>437.72242832744899</v>
      </c>
      <c r="E6">
        <f t="shared" si="0"/>
        <v>-34.277571672551005</v>
      </c>
      <c r="F6">
        <f t="shared" si="1"/>
        <v>0</v>
      </c>
      <c r="G6">
        <f t="shared" si="2"/>
        <v>-34.277571672551005</v>
      </c>
      <c r="H6">
        <f>IF(E6&lt;0,-1,1)</f>
        <v>-1</v>
      </c>
      <c r="I6">
        <f>H5+H6</f>
        <v>-2</v>
      </c>
      <c r="J6">
        <v>-1</v>
      </c>
    </row>
    <row r="7" spans="1:10" x14ac:dyDescent="0.25">
      <c r="A7" s="1">
        <v>44629</v>
      </c>
      <c r="B7">
        <v>478</v>
      </c>
      <c r="C7">
        <v>10</v>
      </c>
      <c r="D7">
        <v>405.65344491324799</v>
      </c>
      <c r="E7">
        <f t="shared" si="0"/>
        <v>-72.346555086752005</v>
      </c>
      <c r="F7">
        <f t="shared" si="1"/>
        <v>-32.068983414201</v>
      </c>
      <c r="G7">
        <f t="shared" si="2"/>
        <v>-72.346555086752005</v>
      </c>
      <c r="H7">
        <f>IF(E7&lt;0,-1,1)</f>
        <v>-1</v>
      </c>
      <c r="I7">
        <f>H6+H7</f>
        <v>-2</v>
      </c>
      <c r="J7">
        <v>-1</v>
      </c>
    </row>
    <row r="8" spans="1:10" x14ac:dyDescent="0.25">
      <c r="A8" s="1">
        <v>44630</v>
      </c>
      <c r="B8">
        <v>497</v>
      </c>
      <c r="C8">
        <v>10</v>
      </c>
      <c r="D8">
        <v>405.65344491324799</v>
      </c>
      <c r="E8">
        <f t="shared" si="0"/>
        <v>-91.346555086752005</v>
      </c>
      <c r="F8">
        <f t="shared" si="1"/>
        <v>0</v>
      </c>
      <c r="G8">
        <f t="shared" si="2"/>
        <v>-91.346555086752005</v>
      </c>
      <c r="H8">
        <f>IF(E8&lt;0,-1,1)</f>
        <v>-1</v>
      </c>
      <c r="I8">
        <f>H7+H8</f>
        <v>-2</v>
      </c>
      <c r="J8">
        <v>-1</v>
      </c>
    </row>
    <row r="9" spans="1:10" x14ac:dyDescent="0.25">
      <c r="A9" s="1">
        <v>44631</v>
      </c>
      <c r="B9">
        <v>484</v>
      </c>
      <c r="C9">
        <v>10</v>
      </c>
      <c r="D9">
        <v>405.65344491324799</v>
      </c>
      <c r="E9">
        <f t="shared" si="0"/>
        <v>-78.346555086752005</v>
      </c>
      <c r="F9">
        <f t="shared" si="1"/>
        <v>0</v>
      </c>
      <c r="G9">
        <f t="shared" si="2"/>
        <v>-78.346555086752005</v>
      </c>
      <c r="H9">
        <f>IF(E9&lt;0,-1,1)</f>
        <v>-1</v>
      </c>
      <c r="I9">
        <f>H8+H9</f>
        <v>-2</v>
      </c>
      <c r="J9">
        <v>-1</v>
      </c>
    </row>
    <row r="10" spans="1:10" x14ac:dyDescent="0.25">
      <c r="A10" s="1">
        <v>44634</v>
      </c>
      <c r="B10">
        <v>487</v>
      </c>
      <c r="C10">
        <v>10</v>
      </c>
      <c r="D10">
        <v>405.65344491324799</v>
      </c>
      <c r="E10">
        <f t="shared" si="0"/>
        <v>-81.346555086752005</v>
      </c>
      <c r="F10">
        <f t="shared" si="1"/>
        <v>0</v>
      </c>
      <c r="G10">
        <f t="shared" si="2"/>
        <v>-81.346555086752005</v>
      </c>
      <c r="H10">
        <f>IF(E10&lt;0,-1,1)</f>
        <v>-1</v>
      </c>
      <c r="I10">
        <f>H9+H10</f>
        <v>-2</v>
      </c>
      <c r="J10">
        <v>-1</v>
      </c>
    </row>
    <row r="11" spans="1:10" x14ac:dyDescent="0.25">
      <c r="A11" s="1">
        <v>44635</v>
      </c>
      <c r="B11">
        <v>464</v>
      </c>
      <c r="C11">
        <v>10</v>
      </c>
      <c r="D11">
        <v>405.65344491324799</v>
      </c>
      <c r="E11">
        <f t="shared" si="0"/>
        <v>-58.346555086752005</v>
      </c>
      <c r="F11">
        <f t="shared" si="1"/>
        <v>0</v>
      </c>
      <c r="G11">
        <f t="shared" si="2"/>
        <v>-58.346555086752005</v>
      </c>
      <c r="H11">
        <f>IF(E11&lt;0,-1,1)</f>
        <v>-1</v>
      </c>
      <c r="I11">
        <f>H10+H11</f>
        <v>-2</v>
      </c>
      <c r="J11">
        <v>-1</v>
      </c>
    </row>
    <row r="12" spans="1:10" x14ac:dyDescent="0.25">
      <c r="A12" s="1">
        <v>44636</v>
      </c>
      <c r="B12">
        <v>455.5</v>
      </c>
      <c r="C12">
        <v>10</v>
      </c>
      <c r="D12">
        <v>405.65344491324799</v>
      </c>
      <c r="E12">
        <f t="shared" si="0"/>
        <v>-49.846555086752005</v>
      </c>
      <c r="F12">
        <f t="shared" si="1"/>
        <v>0</v>
      </c>
      <c r="G12">
        <f t="shared" si="2"/>
        <v>-49.846555086752005</v>
      </c>
      <c r="H12">
        <f>IF(E12&lt;0,-1,1)</f>
        <v>-1</v>
      </c>
      <c r="I12">
        <f>H11+H12</f>
        <v>-2</v>
      </c>
      <c r="J12">
        <v>-1</v>
      </c>
    </row>
    <row r="13" spans="1:10" x14ac:dyDescent="0.25">
      <c r="A13" s="1">
        <v>44637</v>
      </c>
      <c r="B13">
        <v>486</v>
      </c>
      <c r="C13">
        <v>10</v>
      </c>
      <c r="D13">
        <v>405.65344491324799</v>
      </c>
      <c r="E13">
        <f t="shared" si="0"/>
        <v>-80.346555086752005</v>
      </c>
      <c r="F13">
        <f t="shared" si="1"/>
        <v>0</v>
      </c>
      <c r="G13">
        <f t="shared" si="2"/>
        <v>-80.346555086752005</v>
      </c>
      <c r="H13">
        <f>IF(E13&lt;0,-1,1)</f>
        <v>-1</v>
      </c>
      <c r="I13">
        <f>H12+H13</f>
        <v>-2</v>
      </c>
      <c r="J13">
        <v>-1</v>
      </c>
    </row>
    <row r="14" spans="1:10" x14ac:dyDescent="0.25">
      <c r="A14" s="1">
        <v>44638</v>
      </c>
      <c r="B14">
        <v>485.5</v>
      </c>
      <c r="C14">
        <v>10</v>
      </c>
      <c r="D14">
        <v>405.65344491324799</v>
      </c>
      <c r="E14">
        <f t="shared" si="0"/>
        <v>-79.846555086752005</v>
      </c>
      <c r="F14">
        <f t="shared" si="1"/>
        <v>0</v>
      </c>
      <c r="G14">
        <f t="shared" si="2"/>
        <v>-79.846555086752005</v>
      </c>
      <c r="H14">
        <f>IF(E14&lt;0,-1,1)</f>
        <v>-1</v>
      </c>
      <c r="I14">
        <f>H13+H14</f>
        <v>-2</v>
      </c>
      <c r="J14">
        <v>-1</v>
      </c>
    </row>
    <row r="15" spans="1:10" x14ac:dyDescent="0.25">
      <c r="A15" s="1">
        <v>44641</v>
      </c>
      <c r="B15">
        <v>480.5</v>
      </c>
      <c r="C15">
        <v>10</v>
      </c>
      <c r="D15">
        <v>405.65344491324799</v>
      </c>
      <c r="E15">
        <f t="shared" si="0"/>
        <v>-74.846555086752005</v>
      </c>
      <c r="F15">
        <f t="shared" si="1"/>
        <v>0</v>
      </c>
      <c r="G15">
        <f t="shared" si="2"/>
        <v>-74.846555086752005</v>
      </c>
      <c r="H15">
        <f>IF(E15&lt;0,-1,1)</f>
        <v>-1</v>
      </c>
      <c r="I15">
        <f>H14+H15</f>
        <v>-2</v>
      </c>
      <c r="J15">
        <v>-1</v>
      </c>
    </row>
    <row r="16" spans="1:10" x14ac:dyDescent="0.25">
      <c r="A16" s="1">
        <v>44642</v>
      </c>
      <c r="B16">
        <v>474.5</v>
      </c>
      <c r="C16">
        <v>10</v>
      </c>
      <c r="D16">
        <v>405.65344491324799</v>
      </c>
      <c r="E16">
        <f t="shared" si="0"/>
        <v>-68.846555086752005</v>
      </c>
      <c r="F16">
        <f t="shared" si="1"/>
        <v>0</v>
      </c>
      <c r="G16">
        <f t="shared" si="2"/>
        <v>-68.846555086752005</v>
      </c>
      <c r="H16">
        <f>IF(E16&lt;0,-1,1)</f>
        <v>-1</v>
      </c>
      <c r="I16">
        <f>H15+H16</f>
        <v>-2</v>
      </c>
      <c r="J16">
        <v>-1</v>
      </c>
    </row>
    <row r="17" spans="1:10" x14ac:dyDescent="0.25">
      <c r="A17" s="1">
        <v>44643</v>
      </c>
      <c r="B17">
        <v>485.5</v>
      </c>
      <c r="C17">
        <v>10</v>
      </c>
      <c r="D17">
        <v>405.65344491324799</v>
      </c>
      <c r="E17">
        <f t="shared" si="0"/>
        <v>-79.846555086752005</v>
      </c>
      <c r="F17">
        <f t="shared" si="1"/>
        <v>0</v>
      </c>
      <c r="G17">
        <f t="shared" si="2"/>
        <v>-79.846555086752005</v>
      </c>
      <c r="H17">
        <f>IF(E17&lt;0,-1,1)</f>
        <v>-1</v>
      </c>
      <c r="I17">
        <f>H16+H17</f>
        <v>-2</v>
      </c>
      <c r="J17">
        <v>-1</v>
      </c>
    </row>
    <row r="18" spans="1:10" x14ac:dyDescent="0.25">
      <c r="A18" s="1">
        <v>44644</v>
      </c>
      <c r="B18">
        <v>479</v>
      </c>
      <c r="C18">
        <v>10</v>
      </c>
      <c r="D18">
        <v>405.65344491324799</v>
      </c>
      <c r="E18">
        <f t="shared" si="0"/>
        <v>-73.346555086752005</v>
      </c>
      <c r="F18">
        <f t="shared" si="1"/>
        <v>0</v>
      </c>
      <c r="G18">
        <f t="shared" si="2"/>
        <v>-73.346555086752005</v>
      </c>
      <c r="H18">
        <f>IF(E18&lt;0,-1,1)</f>
        <v>-1</v>
      </c>
      <c r="I18">
        <f>H17+H18</f>
        <v>-2</v>
      </c>
      <c r="J18">
        <v>-1</v>
      </c>
    </row>
    <row r="19" spans="1:10" x14ac:dyDescent="0.25">
      <c r="A19" s="1">
        <v>44645</v>
      </c>
      <c r="B19">
        <v>477.5</v>
      </c>
      <c r="C19">
        <v>10</v>
      </c>
      <c r="D19">
        <v>405.65344491324799</v>
      </c>
      <c r="E19">
        <f t="shared" si="0"/>
        <v>-71.846555086752005</v>
      </c>
      <c r="F19">
        <f t="shared" si="1"/>
        <v>0</v>
      </c>
      <c r="G19">
        <f t="shared" si="2"/>
        <v>-71.846555086752005</v>
      </c>
      <c r="H19">
        <f>IF(E19&lt;0,-1,1)</f>
        <v>-1</v>
      </c>
      <c r="I19">
        <f>H18+H19</f>
        <v>-2</v>
      </c>
      <c r="J19">
        <v>-1</v>
      </c>
    </row>
    <row r="20" spans="1:10" x14ac:dyDescent="0.25">
      <c r="A20" s="1">
        <v>44648</v>
      </c>
      <c r="B20">
        <v>467.5</v>
      </c>
      <c r="C20">
        <v>10</v>
      </c>
      <c r="D20">
        <v>405.65344491324799</v>
      </c>
      <c r="E20">
        <f t="shared" si="0"/>
        <v>-61.846555086752005</v>
      </c>
      <c r="F20">
        <f t="shared" si="1"/>
        <v>0</v>
      </c>
      <c r="G20">
        <f t="shared" si="2"/>
        <v>-61.846555086752005</v>
      </c>
      <c r="H20">
        <f>IF(E20&lt;0,-1,1)</f>
        <v>-1</v>
      </c>
      <c r="I20">
        <f>H19+H20</f>
        <v>-2</v>
      </c>
      <c r="J20">
        <v>-1</v>
      </c>
    </row>
    <row r="21" spans="1:10" x14ac:dyDescent="0.25">
      <c r="A21" s="1">
        <v>44649</v>
      </c>
      <c r="B21">
        <v>480</v>
      </c>
      <c r="C21">
        <v>10</v>
      </c>
      <c r="D21">
        <v>405.65344491324799</v>
      </c>
      <c r="E21">
        <f t="shared" si="0"/>
        <v>-74.346555086752005</v>
      </c>
      <c r="F21">
        <f t="shared" si="1"/>
        <v>0</v>
      </c>
      <c r="G21">
        <f t="shared" si="2"/>
        <v>-74.346555086752005</v>
      </c>
      <c r="H21">
        <f>IF(E21&lt;0,-1,1)</f>
        <v>-1</v>
      </c>
      <c r="I21">
        <f>H20+H21</f>
        <v>-2</v>
      </c>
      <c r="J21">
        <v>-1</v>
      </c>
    </row>
    <row r="22" spans="1:10" x14ac:dyDescent="0.25">
      <c r="A22" s="1">
        <v>44650</v>
      </c>
      <c r="B22">
        <v>495</v>
      </c>
      <c r="C22">
        <v>-12</v>
      </c>
      <c r="D22">
        <v>355.25932811950503</v>
      </c>
      <c r="E22">
        <f t="shared" si="0"/>
        <v>-139.74067188049497</v>
      </c>
      <c r="F22">
        <f t="shared" si="1"/>
        <v>-50.394116793742967</v>
      </c>
      <c r="G22">
        <f t="shared" si="2"/>
        <v>-139.74067188049497</v>
      </c>
      <c r="H22">
        <f>IF(E22&lt;0,-1,1)</f>
        <v>-1</v>
      </c>
      <c r="I22">
        <f>H21+H22</f>
        <v>-2</v>
      </c>
      <c r="J22">
        <v>-1</v>
      </c>
    </row>
    <row r="23" spans="1:10" x14ac:dyDescent="0.25">
      <c r="A23" s="1">
        <v>44651</v>
      </c>
      <c r="B23">
        <v>475.5</v>
      </c>
      <c r="C23">
        <v>-12</v>
      </c>
      <c r="D23">
        <v>355.25932811950503</v>
      </c>
      <c r="E23">
        <f t="shared" si="0"/>
        <v>-120.24067188049497</v>
      </c>
      <c r="F23">
        <f t="shared" si="1"/>
        <v>0</v>
      </c>
      <c r="G23">
        <f t="shared" si="2"/>
        <v>-120.24067188049497</v>
      </c>
      <c r="H23">
        <f>IF(E23&lt;0,-1,1)</f>
        <v>-1</v>
      </c>
      <c r="I23">
        <f>H22+H23</f>
        <v>-2</v>
      </c>
      <c r="J23">
        <v>-1</v>
      </c>
    </row>
    <row r="24" spans="1:10" x14ac:dyDescent="0.25">
      <c r="A24" s="1">
        <v>44652</v>
      </c>
      <c r="B24">
        <v>478</v>
      </c>
      <c r="C24">
        <v>-12</v>
      </c>
      <c r="D24">
        <v>355.25932811950503</v>
      </c>
      <c r="E24">
        <f t="shared" si="0"/>
        <v>-122.74067188049497</v>
      </c>
      <c r="F24">
        <f t="shared" si="1"/>
        <v>0</v>
      </c>
      <c r="G24">
        <f t="shared" si="2"/>
        <v>-122.74067188049497</v>
      </c>
      <c r="H24">
        <f>IF(E24&lt;0,-1,1)</f>
        <v>-1</v>
      </c>
      <c r="I24">
        <f>H23+H24</f>
        <v>-2</v>
      </c>
      <c r="J24">
        <v>-1</v>
      </c>
    </row>
    <row r="25" spans="1:10" x14ac:dyDescent="0.25">
      <c r="A25" s="1">
        <v>44657</v>
      </c>
      <c r="B25">
        <v>473</v>
      </c>
      <c r="C25">
        <v>-12</v>
      </c>
      <c r="D25">
        <v>355.25932811950503</v>
      </c>
      <c r="E25">
        <f t="shared" si="0"/>
        <v>-117.74067188049497</v>
      </c>
      <c r="F25">
        <f t="shared" si="1"/>
        <v>0</v>
      </c>
      <c r="G25">
        <f t="shared" si="2"/>
        <v>-117.74067188049497</v>
      </c>
      <c r="H25">
        <f>IF(E25&lt;0,-1,1)</f>
        <v>-1</v>
      </c>
      <c r="I25">
        <f>H24+H25</f>
        <v>-2</v>
      </c>
      <c r="J25">
        <v>-1</v>
      </c>
    </row>
    <row r="26" spans="1:10" x14ac:dyDescent="0.25">
      <c r="A26" s="1">
        <v>44658</v>
      </c>
      <c r="B26">
        <v>455.5</v>
      </c>
      <c r="C26">
        <v>10</v>
      </c>
      <c r="D26">
        <v>405.65344491324799</v>
      </c>
      <c r="E26">
        <f t="shared" si="0"/>
        <v>-49.846555086752005</v>
      </c>
      <c r="F26">
        <f t="shared" si="1"/>
        <v>50.394116793742967</v>
      </c>
      <c r="G26">
        <f t="shared" si="2"/>
        <v>-49.846555086752005</v>
      </c>
      <c r="H26">
        <f>IF(E26&lt;0,-1,1)</f>
        <v>-1</v>
      </c>
      <c r="I26">
        <f>H25+H26</f>
        <v>-2</v>
      </c>
      <c r="J26">
        <v>-1</v>
      </c>
    </row>
    <row r="27" spans="1:10" x14ac:dyDescent="0.25">
      <c r="A27" s="1">
        <v>44659</v>
      </c>
      <c r="B27">
        <v>444.5</v>
      </c>
      <c r="C27">
        <v>10</v>
      </c>
      <c r="D27">
        <v>405.65344491324799</v>
      </c>
      <c r="E27">
        <f t="shared" si="0"/>
        <v>-38.846555086752005</v>
      </c>
      <c r="F27">
        <f t="shared" si="1"/>
        <v>0</v>
      </c>
      <c r="G27">
        <f t="shared" si="2"/>
        <v>-38.846555086752005</v>
      </c>
      <c r="H27">
        <f>IF(E27&lt;0,-1,1)</f>
        <v>-1</v>
      </c>
      <c r="I27">
        <f>H26+H27</f>
        <v>-2</v>
      </c>
      <c r="J27">
        <v>-1</v>
      </c>
    </row>
    <row r="28" spans="1:10" x14ac:dyDescent="0.25">
      <c r="A28" s="1">
        <v>44662</v>
      </c>
      <c r="B28">
        <v>420.5</v>
      </c>
      <c r="C28">
        <v>10</v>
      </c>
      <c r="D28">
        <v>405.65344491324799</v>
      </c>
      <c r="E28">
        <f t="shared" si="0"/>
        <v>-14.846555086752005</v>
      </c>
      <c r="F28">
        <f t="shared" si="1"/>
        <v>0</v>
      </c>
      <c r="G28">
        <f t="shared" si="2"/>
        <v>-14.846555086752005</v>
      </c>
      <c r="H28">
        <f>IF(E28&lt;0,-1,1)</f>
        <v>-1</v>
      </c>
      <c r="I28">
        <f>H27+H28</f>
        <v>-2</v>
      </c>
      <c r="J28">
        <v>-1</v>
      </c>
    </row>
    <row r="29" spans="1:10" x14ac:dyDescent="0.25">
      <c r="A29" s="1">
        <v>44663</v>
      </c>
      <c r="B29">
        <v>426.5</v>
      </c>
      <c r="C29">
        <v>10</v>
      </c>
      <c r="D29">
        <v>405.65344491324799</v>
      </c>
      <c r="E29">
        <f t="shared" si="0"/>
        <v>-20.846555086752005</v>
      </c>
      <c r="F29">
        <f t="shared" si="1"/>
        <v>0</v>
      </c>
      <c r="G29">
        <f t="shared" si="2"/>
        <v>-20.846555086752005</v>
      </c>
      <c r="H29">
        <f>IF(E29&lt;0,-1,1)</f>
        <v>-1</v>
      </c>
      <c r="I29">
        <f>H28+H29</f>
        <v>-2</v>
      </c>
      <c r="J29">
        <v>-1</v>
      </c>
    </row>
    <row r="30" spans="1:10" x14ac:dyDescent="0.25">
      <c r="A30" s="1">
        <v>44664</v>
      </c>
      <c r="B30">
        <v>430.5</v>
      </c>
      <c r="C30">
        <v>10</v>
      </c>
      <c r="D30">
        <v>405.65344491324799</v>
      </c>
      <c r="E30">
        <f t="shared" si="0"/>
        <v>-24.846555086752005</v>
      </c>
      <c r="F30">
        <f t="shared" si="1"/>
        <v>0</v>
      </c>
      <c r="G30">
        <f t="shared" si="2"/>
        <v>-24.846555086752005</v>
      </c>
      <c r="H30">
        <f>IF(E30&lt;0,-1,1)</f>
        <v>-1</v>
      </c>
      <c r="I30">
        <f>H29+H30</f>
        <v>-2</v>
      </c>
      <c r="J30">
        <v>-1</v>
      </c>
    </row>
    <row r="31" spans="1:10" x14ac:dyDescent="0.25">
      <c r="A31" s="1">
        <v>44665</v>
      </c>
      <c r="B31">
        <v>424</v>
      </c>
      <c r="C31">
        <v>10</v>
      </c>
      <c r="D31">
        <v>405.65344491324799</v>
      </c>
      <c r="E31">
        <f t="shared" si="0"/>
        <v>-18.346555086752005</v>
      </c>
      <c r="F31">
        <f t="shared" si="1"/>
        <v>0</v>
      </c>
      <c r="G31">
        <f t="shared" si="2"/>
        <v>-18.346555086752005</v>
      </c>
      <c r="H31">
        <f>IF(E31&lt;0,-1,1)</f>
        <v>-1</v>
      </c>
      <c r="I31">
        <f>H30+H31</f>
        <v>-2</v>
      </c>
      <c r="J31">
        <v>-1</v>
      </c>
    </row>
    <row r="32" spans="1:10" x14ac:dyDescent="0.25">
      <c r="A32" s="1">
        <v>44666</v>
      </c>
      <c r="B32">
        <v>418</v>
      </c>
      <c r="C32">
        <v>10</v>
      </c>
      <c r="D32">
        <v>405.65344491324799</v>
      </c>
      <c r="E32">
        <f t="shared" si="0"/>
        <v>-12.346555086752005</v>
      </c>
      <c r="F32">
        <f t="shared" si="1"/>
        <v>0</v>
      </c>
      <c r="G32">
        <f t="shared" si="2"/>
        <v>-12.346555086752005</v>
      </c>
      <c r="H32">
        <f>IF(E32&lt;0,-1,1)</f>
        <v>-1</v>
      </c>
      <c r="I32">
        <f>H31+H32</f>
        <v>-2</v>
      </c>
      <c r="J32">
        <v>-1</v>
      </c>
    </row>
    <row r="33" spans="1:15" x14ac:dyDescent="0.25">
      <c r="A33" s="1">
        <v>44669</v>
      </c>
      <c r="B33">
        <v>414.5</v>
      </c>
      <c r="C33">
        <v>10</v>
      </c>
      <c r="D33">
        <v>405.65344491324799</v>
      </c>
      <c r="E33">
        <f t="shared" si="0"/>
        <v>-8.8465550867520051</v>
      </c>
      <c r="F33">
        <f t="shared" si="1"/>
        <v>0</v>
      </c>
      <c r="G33">
        <f t="shared" si="2"/>
        <v>-8.8465550867520051</v>
      </c>
      <c r="H33">
        <f>IF(E33&lt;0,-1,1)</f>
        <v>-1</v>
      </c>
      <c r="I33">
        <f>H32+H33</f>
        <v>-2</v>
      </c>
      <c r="J33">
        <v>-1</v>
      </c>
    </row>
    <row r="34" spans="1:15" x14ac:dyDescent="0.25">
      <c r="A34" s="1">
        <v>44670</v>
      </c>
      <c r="B34">
        <v>415</v>
      </c>
      <c r="C34">
        <v>10</v>
      </c>
      <c r="D34">
        <v>405.65344491324799</v>
      </c>
      <c r="E34">
        <f t="shared" si="0"/>
        <v>-9.3465550867520051</v>
      </c>
      <c r="F34">
        <f t="shared" si="1"/>
        <v>0</v>
      </c>
      <c r="G34">
        <f t="shared" si="2"/>
        <v>-9.3465550867520051</v>
      </c>
      <c r="H34">
        <f>IF(E34&lt;0,-1,1)</f>
        <v>-1</v>
      </c>
      <c r="I34">
        <f>H33+H34</f>
        <v>-2</v>
      </c>
      <c r="J34">
        <v>-1</v>
      </c>
    </row>
    <row r="35" spans="1:15" x14ac:dyDescent="0.25">
      <c r="A35" s="1">
        <v>44671</v>
      </c>
      <c r="B35">
        <v>414.5</v>
      </c>
      <c r="C35">
        <v>10</v>
      </c>
      <c r="D35">
        <v>405.65344491324799</v>
      </c>
      <c r="E35">
        <f t="shared" si="0"/>
        <v>-8.8465550867520051</v>
      </c>
      <c r="F35">
        <f t="shared" si="1"/>
        <v>0</v>
      </c>
      <c r="G35">
        <f t="shared" si="2"/>
        <v>-8.8465550867520051</v>
      </c>
      <c r="H35">
        <f>IF(E35&lt;0,-1,1)</f>
        <v>-1</v>
      </c>
      <c r="I35">
        <f>H34+H35</f>
        <v>-2</v>
      </c>
      <c r="J35">
        <v>-1</v>
      </c>
    </row>
    <row r="36" spans="1:15" x14ac:dyDescent="0.25">
      <c r="A36" s="1">
        <v>44672</v>
      </c>
      <c r="B36">
        <v>410</v>
      </c>
      <c r="C36">
        <v>10</v>
      </c>
      <c r="D36">
        <v>405.65344491324799</v>
      </c>
      <c r="E36">
        <f t="shared" si="0"/>
        <v>-4.3465550867520051</v>
      </c>
      <c r="F36">
        <f t="shared" si="1"/>
        <v>0</v>
      </c>
      <c r="G36">
        <f t="shared" si="2"/>
        <v>-4.3465550867520051</v>
      </c>
      <c r="H36">
        <f>IF(E36&lt;0,-1,1)</f>
        <v>-1</v>
      </c>
      <c r="I36">
        <f>H35+H36</f>
        <v>-2</v>
      </c>
      <c r="J36">
        <v>-1</v>
      </c>
    </row>
    <row r="37" spans="1:15" x14ac:dyDescent="0.25">
      <c r="A37" s="6">
        <v>44673</v>
      </c>
      <c r="B37" s="7">
        <v>402.5</v>
      </c>
      <c r="C37" s="7">
        <v>10</v>
      </c>
      <c r="D37" s="7">
        <v>405.65344491324799</v>
      </c>
      <c r="E37">
        <f t="shared" si="0"/>
        <v>3.1534449132479949</v>
      </c>
      <c r="F37">
        <f t="shared" si="1"/>
        <v>0</v>
      </c>
      <c r="G37">
        <f t="shared" si="2"/>
        <v>3.1534449132479949</v>
      </c>
      <c r="H37">
        <f>IF(E37&lt;0,-1,1)</f>
        <v>1</v>
      </c>
      <c r="I37">
        <f>H36+H37</f>
        <v>0</v>
      </c>
      <c r="J37">
        <v>0</v>
      </c>
    </row>
    <row r="38" spans="1:15" x14ac:dyDescent="0.25">
      <c r="A38" s="1">
        <v>44676</v>
      </c>
      <c r="B38">
        <v>385.5</v>
      </c>
      <c r="C38">
        <v>10</v>
      </c>
      <c r="D38">
        <v>405.65344491324799</v>
      </c>
      <c r="E38">
        <f t="shared" si="0"/>
        <v>20.153444913247995</v>
      </c>
      <c r="F38">
        <f t="shared" si="1"/>
        <v>0</v>
      </c>
      <c r="G38">
        <f t="shared" si="2"/>
        <v>20.153444913247995</v>
      </c>
      <c r="H38">
        <f>IF(E38&lt;0,-1,1)</f>
        <v>1</v>
      </c>
      <c r="I38">
        <f>H37+H38</f>
        <v>2</v>
      </c>
      <c r="J38">
        <v>0</v>
      </c>
      <c r="K38" s="2" t="s">
        <v>5</v>
      </c>
      <c r="L38" s="2"/>
      <c r="M38" s="2"/>
      <c r="N38" s="2"/>
      <c r="O38" s="2"/>
    </row>
    <row r="39" spans="1:15" x14ac:dyDescent="0.25">
      <c r="A39" s="1">
        <v>44677</v>
      </c>
      <c r="B39">
        <v>393</v>
      </c>
      <c r="C39">
        <v>10</v>
      </c>
      <c r="D39">
        <v>405.65344491324799</v>
      </c>
      <c r="E39">
        <f t="shared" si="0"/>
        <v>12.653444913247995</v>
      </c>
      <c r="F39">
        <f t="shared" si="1"/>
        <v>0</v>
      </c>
      <c r="G39">
        <f t="shared" si="2"/>
        <v>12.653444913247995</v>
      </c>
      <c r="H39">
        <f>IF(E39&lt;0,-1,1)</f>
        <v>1</v>
      </c>
      <c r="I39">
        <f>H38+H39</f>
        <v>2</v>
      </c>
      <c r="J39">
        <v>0</v>
      </c>
    </row>
    <row r="40" spans="1:15" x14ac:dyDescent="0.25">
      <c r="A40" s="1">
        <v>44678</v>
      </c>
      <c r="B40">
        <v>385.5</v>
      </c>
      <c r="C40">
        <v>10</v>
      </c>
      <c r="D40">
        <v>405.65344491324799</v>
      </c>
      <c r="E40">
        <f t="shared" si="0"/>
        <v>20.153444913247995</v>
      </c>
      <c r="F40">
        <f t="shared" si="1"/>
        <v>0</v>
      </c>
      <c r="G40">
        <f t="shared" si="2"/>
        <v>20.153444913247995</v>
      </c>
      <c r="H40">
        <f>IF(E40&lt;0,-1,1)</f>
        <v>1</v>
      </c>
      <c r="I40">
        <f>H39+H40</f>
        <v>2</v>
      </c>
      <c r="J40">
        <v>0</v>
      </c>
    </row>
    <row r="41" spans="1:15" x14ac:dyDescent="0.25">
      <c r="A41" s="1">
        <v>44679</v>
      </c>
      <c r="B41">
        <v>384</v>
      </c>
      <c r="C41">
        <v>10</v>
      </c>
      <c r="D41">
        <v>405.65344491324799</v>
      </c>
      <c r="E41">
        <f t="shared" si="0"/>
        <v>21.653444913247995</v>
      </c>
      <c r="F41">
        <f t="shared" si="1"/>
        <v>0</v>
      </c>
      <c r="G41">
        <f t="shared" si="2"/>
        <v>21.653444913247995</v>
      </c>
      <c r="H41">
        <f>IF(E41&lt;0,-1,1)</f>
        <v>1</v>
      </c>
      <c r="I41">
        <f>H40+H41</f>
        <v>2</v>
      </c>
      <c r="J41">
        <v>0</v>
      </c>
    </row>
    <row r="42" spans="1:15" x14ac:dyDescent="0.25">
      <c r="A42" s="1">
        <v>44680</v>
      </c>
      <c r="B42">
        <v>387.5</v>
      </c>
      <c r="C42">
        <v>10</v>
      </c>
      <c r="D42">
        <v>405.65344491324799</v>
      </c>
      <c r="E42">
        <f t="shared" si="0"/>
        <v>18.153444913247995</v>
      </c>
      <c r="F42">
        <f t="shared" si="1"/>
        <v>0</v>
      </c>
      <c r="G42">
        <f t="shared" si="2"/>
        <v>18.153444913247995</v>
      </c>
      <c r="H42">
        <f>IF(E42&lt;0,-1,1)</f>
        <v>1</v>
      </c>
      <c r="I42">
        <f>H41+H42</f>
        <v>2</v>
      </c>
      <c r="J42">
        <v>0</v>
      </c>
    </row>
    <row r="43" spans="1:15" x14ac:dyDescent="0.25">
      <c r="A43" s="1">
        <v>44684</v>
      </c>
      <c r="B43">
        <v>389</v>
      </c>
      <c r="C43">
        <v>10</v>
      </c>
      <c r="D43">
        <v>405.65344491324799</v>
      </c>
      <c r="E43">
        <f t="shared" si="0"/>
        <v>16.653444913247995</v>
      </c>
      <c r="F43">
        <f t="shared" si="1"/>
        <v>0</v>
      </c>
      <c r="G43">
        <f t="shared" si="2"/>
        <v>16.653444913247995</v>
      </c>
      <c r="H43">
        <f>IF(E43&lt;0,-1,1)</f>
        <v>1</v>
      </c>
      <c r="I43">
        <f>H42+H43</f>
        <v>2</v>
      </c>
      <c r="J43">
        <v>0</v>
      </c>
    </row>
    <row r="44" spans="1:15" x14ac:dyDescent="0.25">
      <c r="A44" s="1">
        <v>44685</v>
      </c>
      <c r="B44">
        <v>389.5</v>
      </c>
      <c r="C44">
        <v>10</v>
      </c>
      <c r="D44">
        <v>405.65344491324799</v>
      </c>
      <c r="E44">
        <f t="shared" si="0"/>
        <v>16.153444913247995</v>
      </c>
      <c r="F44">
        <f t="shared" si="1"/>
        <v>0</v>
      </c>
      <c r="G44">
        <f t="shared" si="2"/>
        <v>16.153444913247995</v>
      </c>
      <c r="H44">
        <f>IF(E44&lt;0,-1,1)</f>
        <v>1</v>
      </c>
      <c r="I44">
        <f>H43+H44</f>
        <v>2</v>
      </c>
      <c r="J44">
        <v>0</v>
      </c>
    </row>
    <row r="45" spans="1:15" x14ac:dyDescent="0.25">
      <c r="A45" s="1">
        <v>44686</v>
      </c>
      <c r="B45">
        <v>406</v>
      </c>
      <c r="C45">
        <v>10</v>
      </c>
      <c r="D45">
        <v>405.65344491324799</v>
      </c>
      <c r="E45">
        <f t="shared" si="0"/>
        <v>-0.34655508675200508</v>
      </c>
      <c r="F45">
        <f t="shared" si="1"/>
        <v>0</v>
      </c>
      <c r="G45">
        <f t="shared" si="2"/>
        <v>-0.34655508675200508</v>
      </c>
      <c r="H45">
        <f>IF(E45&lt;0,-1,1)</f>
        <v>-1</v>
      </c>
      <c r="I45">
        <f>H44+H45</f>
        <v>0</v>
      </c>
      <c r="J45">
        <v>0</v>
      </c>
    </row>
    <row r="46" spans="1:15" x14ac:dyDescent="0.25">
      <c r="A46" s="1">
        <v>44687</v>
      </c>
      <c r="B46">
        <v>398.5</v>
      </c>
      <c r="C46">
        <v>10</v>
      </c>
      <c r="D46">
        <v>405.65344491324799</v>
      </c>
      <c r="E46">
        <f t="shared" si="0"/>
        <v>7.1534449132479949</v>
      </c>
      <c r="F46">
        <f t="shared" si="1"/>
        <v>0</v>
      </c>
      <c r="G46">
        <f t="shared" si="2"/>
        <v>7.1534449132479949</v>
      </c>
      <c r="H46">
        <f>IF(E46&lt;0,-1,1)</f>
        <v>1</v>
      </c>
      <c r="I46">
        <f>H45+H46</f>
        <v>0</v>
      </c>
      <c r="J46">
        <v>0</v>
      </c>
    </row>
    <row r="47" spans="1:15" x14ac:dyDescent="0.25">
      <c r="A47" s="1">
        <v>44690</v>
      </c>
      <c r="B47">
        <v>378.5</v>
      </c>
      <c r="C47">
        <v>10</v>
      </c>
      <c r="D47">
        <v>405.65344491324799</v>
      </c>
      <c r="E47">
        <f t="shared" si="0"/>
        <v>27.153444913247995</v>
      </c>
      <c r="F47">
        <f t="shared" si="1"/>
        <v>0</v>
      </c>
      <c r="G47">
        <f t="shared" si="2"/>
        <v>27.153444913247995</v>
      </c>
      <c r="H47">
        <f>IF(E47&lt;0,-1,1)</f>
        <v>1</v>
      </c>
      <c r="I47">
        <f>H46+H47</f>
        <v>2</v>
      </c>
      <c r="J47">
        <v>0</v>
      </c>
    </row>
    <row r="48" spans="1:15" x14ac:dyDescent="0.25">
      <c r="A48" s="1">
        <v>44691</v>
      </c>
      <c r="B48">
        <v>383</v>
      </c>
      <c r="C48">
        <v>10</v>
      </c>
      <c r="D48">
        <v>405.65344491324799</v>
      </c>
      <c r="E48">
        <f t="shared" si="0"/>
        <v>22.653444913247995</v>
      </c>
      <c r="F48">
        <f t="shared" si="1"/>
        <v>0</v>
      </c>
      <c r="G48">
        <f t="shared" si="2"/>
        <v>22.653444913247995</v>
      </c>
      <c r="H48">
        <f>IF(E48&lt;0,-1,1)</f>
        <v>1</v>
      </c>
      <c r="I48">
        <f>H47+H48</f>
        <v>2</v>
      </c>
      <c r="J48">
        <v>0</v>
      </c>
    </row>
    <row r="49" spans="1:10" x14ac:dyDescent="0.25">
      <c r="A49" s="1">
        <v>44692</v>
      </c>
      <c r="B49">
        <v>375.5</v>
      </c>
      <c r="C49">
        <v>10</v>
      </c>
      <c r="D49">
        <v>405.65344491324799</v>
      </c>
      <c r="E49">
        <f t="shared" si="0"/>
        <v>30.153444913247995</v>
      </c>
      <c r="F49">
        <f t="shared" si="1"/>
        <v>0</v>
      </c>
      <c r="G49">
        <f t="shared" si="2"/>
        <v>30.153444913247995</v>
      </c>
      <c r="H49">
        <f>IF(E49&lt;0,-1,1)</f>
        <v>1</v>
      </c>
      <c r="I49">
        <f>H48+H49</f>
        <v>2</v>
      </c>
      <c r="J49">
        <v>0</v>
      </c>
    </row>
    <row r="50" spans="1:10" x14ac:dyDescent="0.25">
      <c r="A50" s="1">
        <v>44693</v>
      </c>
      <c r="B50">
        <v>370</v>
      </c>
      <c r="C50">
        <v>10</v>
      </c>
      <c r="D50">
        <v>405.65344491324799</v>
      </c>
      <c r="E50">
        <f t="shared" si="0"/>
        <v>35.653444913247995</v>
      </c>
      <c r="F50">
        <f t="shared" si="1"/>
        <v>0</v>
      </c>
      <c r="G50">
        <f t="shared" si="2"/>
        <v>35.653444913247995</v>
      </c>
      <c r="H50">
        <f>IF(E50&lt;0,-1,1)</f>
        <v>1</v>
      </c>
      <c r="I50">
        <f>H49+H50</f>
        <v>2</v>
      </c>
      <c r="J50">
        <v>0</v>
      </c>
    </row>
    <row r="51" spans="1:10" x14ac:dyDescent="0.25">
      <c r="A51" s="1">
        <v>44694</v>
      </c>
      <c r="B51">
        <v>378.5</v>
      </c>
      <c r="C51">
        <v>10</v>
      </c>
      <c r="D51">
        <v>405.65344491324799</v>
      </c>
      <c r="E51">
        <f t="shared" si="0"/>
        <v>27.153444913247995</v>
      </c>
      <c r="F51">
        <f t="shared" si="1"/>
        <v>0</v>
      </c>
      <c r="G51">
        <f t="shared" si="2"/>
        <v>27.153444913247995</v>
      </c>
      <c r="H51">
        <f>IF(E51&lt;0,-1,1)</f>
        <v>1</v>
      </c>
      <c r="I51">
        <f>H50+H51</f>
        <v>2</v>
      </c>
      <c r="J51">
        <v>0</v>
      </c>
    </row>
    <row r="52" spans="1:10" x14ac:dyDescent="0.25">
      <c r="A52" s="1">
        <v>44697</v>
      </c>
      <c r="B52">
        <v>375.5</v>
      </c>
      <c r="C52">
        <v>10</v>
      </c>
      <c r="D52">
        <v>405.65344491324799</v>
      </c>
      <c r="E52">
        <f t="shared" si="0"/>
        <v>30.153444913247995</v>
      </c>
      <c r="F52">
        <f t="shared" si="1"/>
        <v>0</v>
      </c>
      <c r="G52">
        <f t="shared" si="2"/>
        <v>30.153444913247995</v>
      </c>
      <c r="H52">
        <f>IF(E52&lt;0,-1,1)</f>
        <v>1</v>
      </c>
      <c r="I52">
        <f>H51+H52</f>
        <v>2</v>
      </c>
      <c r="J52">
        <v>0</v>
      </c>
    </row>
    <row r="53" spans="1:10" x14ac:dyDescent="0.25">
      <c r="A53" s="1">
        <v>44698</v>
      </c>
      <c r="B53">
        <v>387.5</v>
      </c>
      <c r="C53">
        <v>10</v>
      </c>
      <c r="D53">
        <v>405.65344491324799</v>
      </c>
      <c r="E53">
        <f t="shared" si="0"/>
        <v>18.153444913247995</v>
      </c>
      <c r="F53">
        <f t="shared" si="1"/>
        <v>0</v>
      </c>
      <c r="G53">
        <f t="shared" si="2"/>
        <v>18.153444913247995</v>
      </c>
      <c r="H53">
        <f>IF(E53&lt;0,-1,1)</f>
        <v>1</v>
      </c>
      <c r="I53">
        <f>H52+H53</f>
        <v>2</v>
      </c>
      <c r="J53">
        <v>0</v>
      </c>
    </row>
    <row r="54" spans="1:10" x14ac:dyDescent="0.25">
      <c r="A54" s="1">
        <v>44699</v>
      </c>
      <c r="B54">
        <v>391</v>
      </c>
      <c r="C54">
        <v>6</v>
      </c>
      <c r="D54">
        <v>396.49087822347701</v>
      </c>
      <c r="E54">
        <f t="shared" si="0"/>
        <v>5.4908782234770115</v>
      </c>
      <c r="F54">
        <f>D54-D53</f>
        <v>-9.1625666897709834</v>
      </c>
      <c r="G54">
        <f t="shared" si="2"/>
        <v>5.4908782234770115</v>
      </c>
      <c r="H54">
        <f>IF(E54&lt;0,-1,1)</f>
        <v>1</v>
      </c>
      <c r="I54">
        <f>H53+H54</f>
        <v>2</v>
      </c>
      <c r="J54">
        <v>0</v>
      </c>
    </row>
    <row r="55" spans="1:10" x14ac:dyDescent="0.25">
      <c r="A55" s="1">
        <v>44700</v>
      </c>
      <c r="B55">
        <v>393.5</v>
      </c>
      <c r="C55">
        <v>6</v>
      </c>
      <c r="D55">
        <v>396.49087822347701</v>
      </c>
      <c r="E55">
        <f t="shared" si="0"/>
        <v>2.9908782234770115</v>
      </c>
      <c r="F55">
        <f t="shared" si="1"/>
        <v>0</v>
      </c>
      <c r="G55">
        <f t="shared" si="2"/>
        <v>2.9908782234770115</v>
      </c>
      <c r="H55">
        <f>IF(E55&lt;0,-1,1)</f>
        <v>1</v>
      </c>
      <c r="I55">
        <f>H54+H55</f>
        <v>2</v>
      </c>
      <c r="J55">
        <v>0</v>
      </c>
    </row>
    <row r="56" spans="1:10" x14ac:dyDescent="0.25">
      <c r="A56" s="1">
        <v>44701</v>
      </c>
      <c r="B56">
        <v>391</v>
      </c>
      <c r="C56">
        <v>6</v>
      </c>
      <c r="D56">
        <v>396.49087822347701</v>
      </c>
      <c r="E56">
        <f t="shared" si="0"/>
        <v>5.4908782234770115</v>
      </c>
      <c r="F56">
        <f t="shared" si="1"/>
        <v>0</v>
      </c>
      <c r="G56">
        <f t="shared" si="2"/>
        <v>5.4908782234770115</v>
      </c>
      <c r="H56">
        <f>IF(E56&lt;0,-1,1)</f>
        <v>1</v>
      </c>
      <c r="I56">
        <f>H55+H56</f>
        <v>2</v>
      </c>
      <c r="J56">
        <v>0</v>
      </c>
    </row>
    <row r="57" spans="1:10" x14ac:dyDescent="0.25">
      <c r="A57" s="1">
        <v>44704</v>
      </c>
      <c r="B57">
        <v>388</v>
      </c>
      <c r="C57">
        <v>6</v>
      </c>
      <c r="D57">
        <v>396.49087822347701</v>
      </c>
      <c r="E57">
        <f t="shared" si="0"/>
        <v>8.4908782234770115</v>
      </c>
      <c r="F57">
        <f t="shared" si="1"/>
        <v>0</v>
      </c>
      <c r="G57">
        <f t="shared" si="2"/>
        <v>8.4908782234770115</v>
      </c>
      <c r="H57">
        <f>IF(E57&lt;0,-1,1)</f>
        <v>1</v>
      </c>
      <c r="I57">
        <f>H56+H57</f>
        <v>2</v>
      </c>
      <c r="J57">
        <v>0</v>
      </c>
    </row>
    <row r="58" spans="1:10" x14ac:dyDescent="0.25">
      <c r="A58" s="1">
        <v>44705</v>
      </c>
      <c r="B58">
        <v>379</v>
      </c>
      <c r="C58">
        <v>6</v>
      </c>
      <c r="D58">
        <v>396.49087822347701</v>
      </c>
      <c r="E58">
        <f t="shared" si="0"/>
        <v>17.490878223477011</v>
      </c>
      <c r="F58">
        <f t="shared" si="1"/>
        <v>0</v>
      </c>
      <c r="G58">
        <f t="shared" si="2"/>
        <v>17.490878223477011</v>
      </c>
      <c r="H58">
        <f>IF(E58&lt;0,-1,1)</f>
        <v>1</v>
      </c>
      <c r="I58">
        <f>H57+H58</f>
        <v>2</v>
      </c>
      <c r="J58">
        <v>0</v>
      </c>
    </row>
    <row r="59" spans="1:10" x14ac:dyDescent="0.25">
      <c r="A59" s="1">
        <v>44706</v>
      </c>
      <c r="B59">
        <v>376</v>
      </c>
      <c r="C59">
        <v>11</v>
      </c>
      <c r="D59">
        <v>407.94408658569102</v>
      </c>
      <c r="E59">
        <f t="shared" si="0"/>
        <v>31.944086585691025</v>
      </c>
      <c r="F59" s="2">
        <f>D59-D58</f>
        <v>11.453208362214014</v>
      </c>
      <c r="G59" s="2">
        <f>D59-B59</f>
        <v>31.944086585691025</v>
      </c>
      <c r="H59">
        <f>IF(E59&lt;0,-1,1)</f>
        <v>1</v>
      </c>
      <c r="I59">
        <f>H58+H59</f>
        <v>2</v>
      </c>
      <c r="J59">
        <v>0</v>
      </c>
    </row>
    <row r="60" spans="1:10" x14ac:dyDescent="0.25">
      <c r="A60" s="1">
        <v>44707</v>
      </c>
      <c r="B60" s="7">
        <v>368</v>
      </c>
      <c r="C60" s="7">
        <v>6</v>
      </c>
      <c r="D60" s="7">
        <v>396.49087822347701</v>
      </c>
      <c r="E60">
        <f t="shared" si="0"/>
        <v>28.490878223477011</v>
      </c>
      <c r="F60">
        <f>D60-D59</f>
        <v>-11.453208362214014</v>
      </c>
      <c r="G60">
        <f>D60-B60</f>
        <v>28.490878223477011</v>
      </c>
      <c r="H60">
        <f>IF(E60&lt;0,-1,1)</f>
        <v>1</v>
      </c>
      <c r="I60">
        <f>H59+H60</f>
        <v>2</v>
      </c>
      <c r="J60">
        <v>1</v>
      </c>
    </row>
    <row r="61" spans="1:10" x14ac:dyDescent="0.25">
      <c r="A61" s="1">
        <v>44708</v>
      </c>
      <c r="B61">
        <v>377</v>
      </c>
      <c r="C61">
        <v>6</v>
      </c>
      <c r="D61">
        <v>396.49087822347701</v>
      </c>
      <c r="E61">
        <f t="shared" si="0"/>
        <v>19.490878223477011</v>
      </c>
      <c r="F61">
        <f t="shared" si="1"/>
        <v>0</v>
      </c>
      <c r="G61">
        <f t="shared" si="2"/>
        <v>19.490878223477011</v>
      </c>
      <c r="H61">
        <f>IF(E61&lt;0,-1,1)</f>
        <v>1</v>
      </c>
      <c r="I61">
        <f>H60+H61</f>
        <v>2</v>
      </c>
      <c r="J61">
        <v>1</v>
      </c>
    </row>
    <row r="62" spans="1:10" x14ac:dyDescent="0.25">
      <c r="A62" s="1">
        <v>44711</v>
      </c>
      <c r="B62">
        <v>393</v>
      </c>
      <c r="C62">
        <v>6</v>
      </c>
      <c r="D62">
        <v>396.49087822347701</v>
      </c>
      <c r="E62">
        <f t="shared" si="0"/>
        <v>3.4908782234770115</v>
      </c>
      <c r="F62">
        <f t="shared" si="1"/>
        <v>0</v>
      </c>
      <c r="G62">
        <f t="shared" si="2"/>
        <v>3.4908782234770115</v>
      </c>
      <c r="H62">
        <f>IF(E62&lt;0,-1,1)</f>
        <v>1</v>
      </c>
      <c r="I62">
        <f>H61+H62</f>
        <v>2</v>
      </c>
      <c r="J62">
        <v>1</v>
      </c>
    </row>
    <row r="63" spans="1:10" x14ac:dyDescent="0.25">
      <c r="A63" s="1">
        <v>44712</v>
      </c>
      <c r="B63">
        <v>395.5</v>
      </c>
      <c r="C63">
        <v>6</v>
      </c>
      <c r="D63">
        <v>396.49087822347701</v>
      </c>
      <c r="E63">
        <f t="shared" si="0"/>
        <v>0.99087822347701149</v>
      </c>
      <c r="F63">
        <f t="shared" si="1"/>
        <v>0</v>
      </c>
      <c r="G63">
        <f t="shared" si="2"/>
        <v>0.99087822347701149</v>
      </c>
      <c r="H63">
        <f>IF(E63&lt;0,-1,1)</f>
        <v>1</v>
      </c>
      <c r="I63">
        <f>H62+H63</f>
        <v>2</v>
      </c>
      <c r="J63">
        <v>1</v>
      </c>
    </row>
    <row r="64" spans="1:10" x14ac:dyDescent="0.25">
      <c r="A64" s="1">
        <v>44713</v>
      </c>
      <c r="B64" s="4">
        <v>400</v>
      </c>
      <c r="C64" s="4">
        <v>6</v>
      </c>
      <c r="D64" s="4">
        <v>396.49087822347701</v>
      </c>
      <c r="E64">
        <f t="shared" si="0"/>
        <v>-3.5091217765229885</v>
      </c>
      <c r="F64">
        <f t="shared" si="1"/>
        <v>0</v>
      </c>
      <c r="G64">
        <f t="shared" si="2"/>
        <v>-3.5091217765229885</v>
      </c>
      <c r="H64">
        <f>IF(E64&lt;0,-1,1)</f>
        <v>-1</v>
      </c>
      <c r="I64">
        <f>H63+H64</f>
        <v>0</v>
      </c>
      <c r="J64">
        <v>0</v>
      </c>
    </row>
    <row r="65" spans="1:10" x14ac:dyDescent="0.25">
      <c r="A65" s="1">
        <v>44714</v>
      </c>
      <c r="B65">
        <v>395</v>
      </c>
      <c r="C65">
        <v>6</v>
      </c>
      <c r="D65">
        <v>396.49087822347701</v>
      </c>
      <c r="E65">
        <f t="shared" si="0"/>
        <v>1.4908782234770115</v>
      </c>
      <c r="F65">
        <f t="shared" si="1"/>
        <v>0</v>
      </c>
      <c r="G65">
        <f t="shared" si="2"/>
        <v>1.4908782234770115</v>
      </c>
      <c r="H65">
        <f>IF(E65&lt;0,-1,1)</f>
        <v>1</v>
      </c>
      <c r="I65">
        <f>H64+H65</f>
        <v>0</v>
      </c>
      <c r="J65">
        <v>0</v>
      </c>
    </row>
    <row r="66" spans="1:10" x14ac:dyDescent="0.25">
      <c r="A66" s="1">
        <v>44718</v>
      </c>
      <c r="B66">
        <v>390.5</v>
      </c>
      <c r="C66">
        <v>6</v>
      </c>
      <c r="D66">
        <v>396.49087822347701</v>
      </c>
      <c r="E66">
        <f t="shared" si="0"/>
        <v>5.9908782234770115</v>
      </c>
      <c r="F66">
        <f t="shared" si="1"/>
        <v>0</v>
      </c>
      <c r="G66">
        <f t="shared" si="2"/>
        <v>5.9908782234770115</v>
      </c>
      <c r="H66">
        <f>IF(E66&lt;0,-1,1)</f>
        <v>1</v>
      </c>
      <c r="I66">
        <f>H65+H66</f>
        <v>2</v>
      </c>
      <c r="J66">
        <v>0</v>
      </c>
    </row>
    <row r="67" spans="1:10" x14ac:dyDescent="0.25">
      <c r="A67" s="1">
        <v>44719</v>
      </c>
      <c r="B67">
        <v>383.5</v>
      </c>
      <c r="C67">
        <v>6</v>
      </c>
      <c r="D67">
        <v>396.49087822347701</v>
      </c>
      <c r="E67">
        <f t="shared" si="0"/>
        <v>12.990878223477011</v>
      </c>
      <c r="F67">
        <f t="shared" si="1"/>
        <v>0</v>
      </c>
      <c r="G67">
        <f t="shared" ref="G67:G130" si="3">D67-B67</f>
        <v>12.990878223477011</v>
      </c>
      <c r="H67">
        <f>IF(E67&lt;0,-1,1)</f>
        <v>1</v>
      </c>
      <c r="I67">
        <f>H66+H67</f>
        <v>2</v>
      </c>
      <c r="J67">
        <v>0</v>
      </c>
    </row>
    <row r="68" spans="1:10" x14ac:dyDescent="0.25">
      <c r="A68" s="1">
        <v>44720</v>
      </c>
      <c r="B68">
        <v>389.5</v>
      </c>
      <c r="C68">
        <v>6</v>
      </c>
      <c r="D68">
        <v>396.49087822347701</v>
      </c>
      <c r="E68">
        <f t="shared" ref="E68:E131" si="4">D68-B68</f>
        <v>6.9908782234770115</v>
      </c>
      <c r="F68">
        <f t="shared" ref="F68:F131" si="5">D68-D67</f>
        <v>0</v>
      </c>
      <c r="G68">
        <f t="shared" si="3"/>
        <v>6.9908782234770115</v>
      </c>
      <c r="H68">
        <f>IF(E68&lt;0,-1,1)</f>
        <v>1</v>
      </c>
      <c r="I68">
        <f>H67+H68</f>
        <v>2</v>
      </c>
      <c r="J68">
        <v>0</v>
      </c>
    </row>
    <row r="69" spans="1:10" x14ac:dyDescent="0.25">
      <c r="A69" s="1">
        <v>44721</v>
      </c>
      <c r="B69">
        <v>387.5</v>
      </c>
      <c r="C69">
        <v>6</v>
      </c>
      <c r="D69">
        <v>396.49087822347701</v>
      </c>
      <c r="E69">
        <f t="shared" si="4"/>
        <v>8.9908782234770115</v>
      </c>
      <c r="F69">
        <f t="shared" si="5"/>
        <v>0</v>
      </c>
      <c r="G69">
        <f t="shared" si="3"/>
        <v>8.9908782234770115</v>
      </c>
      <c r="H69">
        <f>IF(E69&lt;0,-1,1)</f>
        <v>1</v>
      </c>
      <c r="I69">
        <f>H68+H69</f>
        <v>2</v>
      </c>
      <c r="J69">
        <v>0</v>
      </c>
    </row>
    <row r="70" spans="1:10" x14ac:dyDescent="0.25">
      <c r="A70" s="1">
        <v>44722</v>
      </c>
      <c r="B70">
        <v>381.5</v>
      </c>
      <c r="C70">
        <v>6</v>
      </c>
      <c r="D70">
        <v>396.49087822347701</v>
      </c>
      <c r="E70">
        <f t="shared" si="4"/>
        <v>14.990878223477011</v>
      </c>
      <c r="F70">
        <f t="shared" si="5"/>
        <v>0</v>
      </c>
      <c r="G70">
        <f t="shared" si="3"/>
        <v>14.990878223477011</v>
      </c>
      <c r="H70">
        <f>IF(E70&lt;0,-1,1)</f>
        <v>1</v>
      </c>
      <c r="I70">
        <f>H69+H70</f>
        <v>2</v>
      </c>
      <c r="J70">
        <v>0</v>
      </c>
    </row>
    <row r="71" spans="1:10" x14ac:dyDescent="0.25">
      <c r="A71" s="1">
        <v>44725</v>
      </c>
      <c r="B71">
        <v>369.5</v>
      </c>
      <c r="C71">
        <v>6</v>
      </c>
      <c r="D71">
        <v>396.49087822347701</v>
      </c>
      <c r="E71">
        <f t="shared" si="4"/>
        <v>26.990878223477011</v>
      </c>
      <c r="F71">
        <f t="shared" si="5"/>
        <v>0</v>
      </c>
      <c r="G71">
        <f t="shared" si="3"/>
        <v>26.990878223477011</v>
      </c>
      <c r="H71">
        <f>IF(E71&lt;0,-1,1)</f>
        <v>1</v>
      </c>
      <c r="I71">
        <f>H70+H71</f>
        <v>2</v>
      </c>
      <c r="J71">
        <v>0</v>
      </c>
    </row>
    <row r="72" spans="1:10" x14ac:dyDescent="0.25">
      <c r="A72" s="1">
        <v>44726</v>
      </c>
      <c r="B72">
        <v>363.5</v>
      </c>
      <c r="C72">
        <v>6</v>
      </c>
      <c r="D72">
        <v>396.49087822347701</v>
      </c>
      <c r="E72">
        <f t="shared" si="4"/>
        <v>32.990878223477011</v>
      </c>
      <c r="F72">
        <f t="shared" si="5"/>
        <v>0</v>
      </c>
      <c r="G72">
        <f t="shared" si="3"/>
        <v>32.990878223477011</v>
      </c>
      <c r="H72">
        <f>IF(E72&lt;0,-1,1)</f>
        <v>1</v>
      </c>
      <c r="I72">
        <f>H71+H72</f>
        <v>2</v>
      </c>
      <c r="J72">
        <v>0</v>
      </c>
    </row>
    <row r="73" spans="1:10" x14ac:dyDescent="0.25">
      <c r="A73" s="1">
        <v>44727</v>
      </c>
      <c r="B73">
        <v>351.5</v>
      </c>
      <c r="C73">
        <v>6</v>
      </c>
      <c r="D73">
        <v>396.49087822347701</v>
      </c>
      <c r="E73">
        <f t="shared" si="4"/>
        <v>44.990878223477011</v>
      </c>
      <c r="F73">
        <f t="shared" si="5"/>
        <v>0</v>
      </c>
      <c r="G73">
        <f t="shared" si="3"/>
        <v>44.990878223477011</v>
      </c>
      <c r="H73">
        <f>IF(E73&lt;0,-1,1)</f>
        <v>1</v>
      </c>
      <c r="I73">
        <f>H72+H73</f>
        <v>2</v>
      </c>
      <c r="J73">
        <v>0</v>
      </c>
    </row>
    <row r="74" spans="1:10" x14ac:dyDescent="0.25">
      <c r="A74" s="1">
        <v>44728</v>
      </c>
      <c r="B74">
        <v>345.5</v>
      </c>
      <c r="C74">
        <v>6</v>
      </c>
      <c r="D74">
        <v>396.49087822347701</v>
      </c>
      <c r="E74">
        <f t="shared" si="4"/>
        <v>50.990878223477011</v>
      </c>
      <c r="F74">
        <f t="shared" si="5"/>
        <v>0</v>
      </c>
      <c r="G74">
        <f t="shared" si="3"/>
        <v>50.990878223477011</v>
      </c>
      <c r="H74">
        <f>IF(E74&lt;0,-1,1)</f>
        <v>1</v>
      </c>
      <c r="I74">
        <f>H73+H74</f>
        <v>2</v>
      </c>
      <c r="J74">
        <v>0</v>
      </c>
    </row>
    <row r="75" spans="1:10" x14ac:dyDescent="0.25">
      <c r="A75" s="1">
        <v>44729</v>
      </c>
      <c r="B75">
        <v>328</v>
      </c>
      <c r="C75">
        <v>-9</v>
      </c>
      <c r="D75">
        <v>362.13125313683298</v>
      </c>
      <c r="E75">
        <f t="shared" si="4"/>
        <v>34.131253136832981</v>
      </c>
      <c r="F75">
        <f t="shared" si="5"/>
        <v>-34.35962508664403</v>
      </c>
      <c r="G75">
        <f t="shared" si="3"/>
        <v>34.131253136832981</v>
      </c>
      <c r="H75">
        <f>IF(E75&lt;0,-1,1)</f>
        <v>1</v>
      </c>
      <c r="I75">
        <f>H74+H75</f>
        <v>2</v>
      </c>
      <c r="J75">
        <v>0</v>
      </c>
    </row>
    <row r="76" spans="1:10" x14ac:dyDescent="0.25">
      <c r="A76" s="1">
        <v>44732</v>
      </c>
      <c r="B76" s="7">
        <v>316</v>
      </c>
      <c r="C76" s="7">
        <v>10</v>
      </c>
      <c r="D76" s="7">
        <v>405.65344491324799</v>
      </c>
      <c r="E76">
        <f t="shared" si="4"/>
        <v>89.653444913247995</v>
      </c>
      <c r="F76">
        <f t="shared" si="5"/>
        <v>43.522191776415013</v>
      </c>
      <c r="G76">
        <f t="shared" si="3"/>
        <v>89.653444913247995</v>
      </c>
      <c r="H76">
        <f>IF(E76&lt;0,-1,1)</f>
        <v>1</v>
      </c>
      <c r="I76">
        <f>H75+H76</f>
        <v>2</v>
      </c>
      <c r="J76">
        <v>1</v>
      </c>
    </row>
    <row r="77" spans="1:10" x14ac:dyDescent="0.25">
      <c r="A77" s="1">
        <v>44733</v>
      </c>
      <c r="B77">
        <v>321</v>
      </c>
      <c r="C77">
        <v>9</v>
      </c>
      <c r="D77">
        <v>403.36280324080599</v>
      </c>
      <c r="E77">
        <f t="shared" si="4"/>
        <v>82.362803240805988</v>
      </c>
      <c r="F77">
        <f t="shared" si="5"/>
        <v>-2.2906416724420069</v>
      </c>
      <c r="G77">
        <f t="shared" si="3"/>
        <v>82.362803240805988</v>
      </c>
      <c r="H77">
        <f>IF(E77&lt;0,-1,1)</f>
        <v>1</v>
      </c>
      <c r="I77">
        <f>H76+H77</f>
        <v>2</v>
      </c>
      <c r="J77">
        <v>1</v>
      </c>
    </row>
    <row r="78" spans="1:10" x14ac:dyDescent="0.25">
      <c r="A78" s="1">
        <v>44734</v>
      </c>
      <c r="B78">
        <v>299.5</v>
      </c>
      <c r="C78">
        <v>9</v>
      </c>
      <c r="D78">
        <v>403.36280324080599</v>
      </c>
      <c r="E78">
        <f t="shared" si="4"/>
        <v>103.86280324080599</v>
      </c>
      <c r="F78">
        <f t="shared" si="5"/>
        <v>0</v>
      </c>
      <c r="G78">
        <f t="shared" si="3"/>
        <v>103.86280324080599</v>
      </c>
      <c r="H78">
        <f>IF(E78&lt;0,-1,1)</f>
        <v>1</v>
      </c>
      <c r="I78">
        <f>H77+H78</f>
        <v>2</v>
      </c>
      <c r="J78">
        <v>1</v>
      </c>
    </row>
    <row r="79" spans="1:10" x14ac:dyDescent="0.25">
      <c r="A79" s="1">
        <v>44735</v>
      </c>
      <c r="B79">
        <v>297</v>
      </c>
      <c r="C79">
        <v>9</v>
      </c>
      <c r="D79">
        <v>403.36280324080599</v>
      </c>
      <c r="E79">
        <f t="shared" si="4"/>
        <v>106.36280324080599</v>
      </c>
      <c r="F79">
        <f t="shared" si="5"/>
        <v>0</v>
      </c>
      <c r="G79">
        <f t="shared" si="3"/>
        <v>106.36280324080599</v>
      </c>
      <c r="H79">
        <f>IF(E79&lt;0,-1,1)</f>
        <v>1</v>
      </c>
      <c r="I79">
        <f>H78+H79</f>
        <v>2</v>
      </c>
      <c r="J79">
        <v>1</v>
      </c>
    </row>
    <row r="80" spans="1:10" x14ac:dyDescent="0.25">
      <c r="A80" s="1">
        <v>44736</v>
      </c>
      <c r="B80" s="5">
        <v>294</v>
      </c>
      <c r="C80" s="5">
        <v>-63</v>
      </c>
      <c r="D80" s="5">
        <v>238.436602824917</v>
      </c>
      <c r="E80">
        <f t="shared" si="4"/>
        <v>-55.563397175082997</v>
      </c>
      <c r="F80">
        <f t="shared" si="5"/>
        <v>-164.92620041588899</v>
      </c>
      <c r="G80">
        <f t="shared" si="3"/>
        <v>-55.563397175082997</v>
      </c>
      <c r="H80">
        <f>IF(E80&lt;0,-1,1)</f>
        <v>-1</v>
      </c>
      <c r="I80">
        <f>H79+H80</f>
        <v>0</v>
      </c>
      <c r="J80">
        <v>1</v>
      </c>
    </row>
    <row r="81" spans="1:10" x14ac:dyDescent="0.25">
      <c r="A81" s="1">
        <v>44739</v>
      </c>
      <c r="B81" s="4">
        <v>301</v>
      </c>
      <c r="C81" s="4">
        <v>-40</v>
      </c>
      <c r="D81" s="4">
        <v>291.12136129110399</v>
      </c>
      <c r="E81">
        <f t="shared" si="4"/>
        <v>-9.8786387088960055</v>
      </c>
      <c r="F81">
        <f t="shared" si="5"/>
        <v>52.684758466186992</v>
      </c>
      <c r="G81">
        <f t="shared" si="3"/>
        <v>-9.8786387088960055</v>
      </c>
      <c r="H81">
        <f>IF(E81&lt;0,-1,1)</f>
        <v>-1</v>
      </c>
      <c r="I81">
        <f>H80+H81</f>
        <v>-2</v>
      </c>
      <c r="J81">
        <v>0</v>
      </c>
    </row>
    <row r="82" spans="1:10" x14ac:dyDescent="0.25">
      <c r="A82" s="1">
        <v>44740</v>
      </c>
      <c r="B82">
        <v>279.5</v>
      </c>
      <c r="C82">
        <v>-40</v>
      </c>
      <c r="D82">
        <v>291.12136129110399</v>
      </c>
      <c r="E82">
        <f t="shared" si="4"/>
        <v>11.621361291103995</v>
      </c>
      <c r="F82">
        <f t="shared" si="5"/>
        <v>0</v>
      </c>
      <c r="G82">
        <f t="shared" si="3"/>
        <v>11.621361291103995</v>
      </c>
      <c r="H82">
        <f>IF(E82&lt;0,-1,1)</f>
        <v>1</v>
      </c>
      <c r="I82">
        <f>H81+H82</f>
        <v>0</v>
      </c>
      <c r="J82">
        <v>0</v>
      </c>
    </row>
    <row r="83" spans="1:10" x14ac:dyDescent="0.25">
      <c r="A83" s="1">
        <v>44741</v>
      </c>
      <c r="B83">
        <v>281.5</v>
      </c>
      <c r="C83">
        <v>-40</v>
      </c>
      <c r="D83">
        <v>291.12136129110399</v>
      </c>
      <c r="E83">
        <f t="shared" si="4"/>
        <v>9.6213612911039945</v>
      </c>
      <c r="F83">
        <f t="shared" si="5"/>
        <v>0</v>
      </c>
      <c r="G83">
        <f t="shared" si="3"/>
        <v>9.6213612911039945</v>
      </c>
      <c r="H83">
        <f>IF(E83&lt;0,-1,1)</f>
        <v>1</v>
      </c>
      <c r="I83">
        <f>H82+H83</f>
        <v>2</v>
      </c>
      <c r="J83">
        <v>0</v>
      </c>
    </row>
    <row r="84" spans="1:10" x14ac:dyDescent="0.25">
      <c r="A84" s="1">
        <v>44742</v>
      </c>
      <c r="B84">
        <v>271</v>
      </c>
      <c r="C84">
        <v>-40</v>
      </c>
      <c r="D84">
        <v>291.12136129110399</v>
      </c>
      <c r="E84">
        <f t="shared" si="4"/>
        <v>20.121361291103995</v>
      </c>
      <c r="F84">
        <f t="shared" si="5"/>
        <v>0</v>
      </c>
      <c r="G84">
        <f t="shared" si="3"/>
        <v>20.121361291103995</v>
      </c>
      <c r="H84">
        <f>IF(E84&lt;0,-1,1)</f>
        <v>1</v>
      </c>
      <c r="I84">
        <f>H83+H84</f>
        <v>2</v>
      </c>
      <c r="J84">
        <v>0</v>
      </c>
    </row>
    <row r="85" spans="1:10" x14ac:dyDescent="0.25">
      <c r="A85" s="1">
        <v>44743</v>
      </c>
      <c r="B85">
        <v>256</v>
      </c>
      <c r="C85">
        <v>-40</v>
      </c>
      <c r="D85">
        <v>291.12136129110399</v>
      </c>
      <c r="E85">
        <f t="shared" si="4"/>
        <v>35.121361291103995</v>
      </c>
      <c r="F85">
        <f t="shared" si="5"/>
        <v>0</v>
      </c>
      <c r="G85">
        <f t="shared" si="3"/>
        <v>35.121361291103995</v>
      </c>
      <c r="H85">
        <f>IF(E85&lt;0,-1,1)</f>
        <v>1</v>
      </c>
      <c r="I85">
        <f>H84+H85</f>
        <v>2</v>
      </c>
      <c r="J85">
        <v>0</v>
      </c>
    </row>
    <row r="86" spans="1:10" x14ac:dyDescent="0.25">
      <c r="A86" s="1">
        <v>44746</v>
      </c>
      <c r="B86">
        <v>258</v>
      </c>
      <c r="C86">
        <v>-40</v>
      </c>
      <c r="D86">
        <v>291.12136129110399</v>
      </c>
      <c r="E86">
        <f t="shared" si="4"/>
        <v>33.121361291103995</v>
      </c>
      <c r="F86">
        <f t="shared" si="5"/>
        <v>0</v>
      </c>
      <c r="G86">
        <f t="shared" si="3"/>
        <v>33.121361291103995</v>
      </c>
      <c r="H86">
        <f>IF(E86&lt;0,-1,1)</f>
        <v>1</v>
      </c>
      <c r="I86">
        <f>H85+H86</f>
        <v>2</v>
      </c>
      <c r="J86">
        <v>0</v>
      </c>
    </row>
    <row r="87" spans="1:10" x14ac:dyDescent="0.25">
      <c r="A87" s="1">
        <v>44747</v>
      </c>
      <c r="B87">
        <v>257.5</v>
      </c>
      <c r="C87">
        <v>-40</v>
      </c>
      <c r="D87">
        <v>291.12136129110399</v>
      </c>
      <c r="E87">
        <f t="shared" si="4"/>
        <v>33.621361291103995</v>
      </c>
      <c r="F87">
        <f t="shared" si="5"/>
        <v>0</v>
      </c>
      <c r="G87">
        <f t="shared" si="3"/>
        <v>33.621361291103995</v>
      </c>
      <c r="H87">
        <f>IF(E87&lt;0,-1,1)</f>
        <v>1</v>
      </c>
      <c r="I87">
        <f>H86+H87</f>
        <v>2</v>
      </c>
      <c r="J87">
        <v>0</v>
      </c>
    </row>
    <row r="88" spans="1:10" x14ac:dyDescent="0.25">
      <c r="A88" s="1">
        <v>44748</v>
      </c>
      <c r="B88">
        <v>251</v>
      </c>
      <c r="C88">
        <v>-40</v>
      </c>
      <c r="D88">
        <v>291.12136129110399</v>
      </c>
      <c r="E88">
        <f t="shared" si="4"/>
        <v>40.121361291103995</v>
      </c>
      <c r="F88">
        <f t="shared" si="5"/>
        <v>0</v>
      </c>
      <c r="G88">
        <f t="shared" si="3"/>
        <v>40.121361291103995</v>
      </c>
      <c r="H88">
        <f>IF(E88&lt;0,-1,1)</f>
        <v>1</v>
      </c>
      <c r="I88">
        <f>H87+H88</f>
        <v>2</v>
      </c>
      <c r="J88">
        <v>0</v>
      </c>
    </row>
    <row r="89" spans="1:10" x14ac:dyDescent="0.25">
      <c r="A89" s="1">
        <v>44749</v>
      </c>
      <c r="B89">
        <v>263</v>
      </c>
      <c r="C89">
        <v>-40</v>
      </c>
      <c r="D89">
        <v>291.12136129110399</v>
      </c>
      <c r="E89">
        <f t="shared" si="4"/>
        <v>28.121361291103995</v>
      </c>
      <c r="F89">
        <f t="shared" si="5"/>
        <v>0</v>
      </c>
      <c r="G89">
        <f t="shared" si="3"/>
        <v>28.121361291103995</v>
      </c>
      <c r="H89">
        <f>IF(E89&lt;0,-1,1)</f>
        <v>1</v>
      </c>
      <c r="I89">
        <f>H88+H89</f>
        <v>2</v>
      </c>
      <c r="J89">
        <v>0</v>
      </c>
    </row>
    <row r="90" spans="1:10" x14ac:dyDescent="0.25">
      <c r="A90" s="1">
        <v>44750</v>
      </c>
      <c r="B90">
        <v>272.5</v>
      </c>
      <c r="C90">
        <v>-40</v>
      </c>
      <c r="D90">
        <v>291.12136129110399</v>
      </c>
      <c r="E90">
        <f t="shared" si="4"/>
        <v>18.621361291103995</v>
      </c>
      <c r="F90">
        <f t="shared" si="5"/>
        <v>0</v>
      </c>
      <c r="G90">
        <f t="shared" si="3"/>
        <v>18.621361291103995</v>
      </c>
      <c r="H90">
        <f>IF(E90&lt;0,-1,1)</f>
        <v>1</v>
      </c>
      <c r="I90">
        <f>H89+H90</f>
        <v>2</v>
      </c>
      <c r="J90">
        <v>0</v>
      </c>
    </row>
    <row r="91" spans="1:10" x14ac:dyDescent="0.25">
      <c r="A91" s="1">
        <v>44753</v>
      </c>
      <c r="B91">
        <v>269</v>
      </c>
      <c r="C91">
        <v>-40</v>
      </c>
      <c r="D91">
        <v>291.12136129110399</v>
      </c>
      <c r="E91">
        <f t="shared" si="4"/>
        <v>22.121361291103995</v>
      </c>
      <c r="F91">
        <f t="shared" si="5"/>
        <v>0</v>
      </c>
      <c r="G91">
        <f t="shared" si="3"/>
        <v>22.121361291103995</v>
      </c>
      <c r="H91">
        <f>IF(E91&lt;0,-1,1)</f>
        <v>1</v>
      </c>
      <c r="I91">
        <f>H90+H91</f>
        <v>2</v>
      </c>
      <c r="J91">
        <v>0</v>
      </c>
    </row>
    <row r="92" spans="1:10" x14ac:dyDescent="0.25">
      <c r="A92" s="1">
        <v>44754</v>
      </c>
      <c r="B92">
        <v>267</v>
      </c>
      <c r="C92">
        <v>-40</v>
      </c>
      <c r="D92">
        <v>291.12136129110399</v>
      </c>
      <c r="E92">
        <f t="shared" si="4"/>
        <v>24.121361291103995</v>
      </c>
      <c r="F92">
        <f t="shared" si="5"/>
        <v>0</v>
      </c>
      <c r="G92">
        <f t="shared" si="3"/>
        <v>24.121361291103995</v>
      </c>
      <c r="H92">
        <f>IF(E92&lt;0,-1,1)</f>
        <v>1</v>
      </c>
      <c r="I92">
        <f>H91+H92</f>
        <v>2</v>
      </c>
      <c r="J92">
        <v>0</v>
      </c>
    </row>
    <row r="93" spans="1:10" x14ac:dyDescent="0.25">
      <c r="A93" s="1">
        <v>44755</v>
      </c>
      <c r="B93">
        <v>274</v>
      </c>
      <c r="C93">
        <v>-40</v>
      </c>
      <c r="D93">
        <v>291.12136129110399</v>
      </c>
      <c r="E93">
        <f t="shared" si="4"/>
        <v>17.121361291103995</v>
      </c>
      <c r="F93">
        <f t="shared" si="5"/>
        <v>0</v>
      </c>
      <c r="G93">
        <f t="shared" si="3"/>
        <v>17.121361291103995</v>
      </c>
      <c r="H93">
        <f>IF(E93&lt;0,-1,1)</f>
        <v>1</v>
      </c>
      <c r="I93">
        <f>H92+H93</f>
        <v>2</v>
      </c>
      <c r="J93">
        <v>0</v>
      </c>
    </row>
    <row r="94" spans="1:10" x14ac:dyDescent="0.25">
      <c r="A94" s="1">
        <v>44756</v>
      </c>
      <c r="B94">
        <v>279.5</v>
      </c>
      <c r="C94">
        <v>-40</v>
      </c>
      <c r="D94">
        <v>291.12136129110399</v>
      </c>
      <c r="E94">
        <f t="shared" si="4"/>
        <v>11.621361291103995</v>
      </c>
      <c r="F94">
        <f t="shared" si="5"/>
        <v>0</v>
      </c>
      <c r="G94">
        <f t="shared" si="3"/>
        <v>11.621361291103995</v>
      </c>
      <c r="H94">
        <f>IF(E94&lt;0,-1,1)</f>
        <v>1</v>
      </c>
      <c r="I94">
        <f>H93+H94</f>
        <v>2</v>
      </c>
      <c r="J94">
        <v>0</v>
      </c>
    </row>
    <row r="95" spans="1:10" x14ac:dyDescent="0.25">
      <c r="A95" s="1">
        <v>44757</v>
      </c>
      <c r="B95">
        <v>286.5</v>
      </c>
      <c r="C95">
        <v>-40</v>
      </c>
      <c r="D95">
        <v>291.12136129110399</v>
      </c>
      <c r="E95">
        <f t="shared" si="4"/>
        <v>4.6213612911039945</v>
      </c>
      <c r="F95">
        <f t="shared" si="5"/>
        <v>0</v>
      </c>
      <c r="G95">
        <f t="shared" si="3"/>
        <v>4.6213612911039945</v>
      </c>
      <c r="H95">
        <f>IF(E95&lt;0,-1,1)</f>
        <v>1</v>
      </c>
      <c r="I95">
        <f>H94+H95</f>
        <v>2</v>
      </c>
      <c r="J95">
        <v>0</v>
      </c>
    </row>
    <row r="96" spans="1:10" x14ac:dyDescent="0.25">
      <c r="A96" s="1">
        <v>44760</v>
      </c>
      <c r="B96">
        <v>301</v>
      </c>
      <c r="C96">
        <v>-40</v>
      </c>
      <c r="D96">
        <v>291.12136129110399</v>
      </c>
      <c r="E96">
        <f t="shared" si="4"/>
        <v>-9.8786387088960055</v>
      </c>
      <c r="F96">
        <f t="shared" si="5"/>
        <v>0</v>
      </c>
      <c r="G96">
        <f t="shared" si="3"/>
        <v>-9.8786387088960055</v>
      </c>
      <c r="H96">
        <f>IF(E96&lt;0,-1,1)</f>
        <v>-1</v>
      </c>
      <c r="I96">
        <f>H95+H96</f>
        <v>0</v>
      </c>
      <c r="J96">
        <v>0</v>
      </c>
    </row>
    <row r="97" spans="1:10" x14ac:dyDescent="0.25">
      <c r="A97" s="1">
        <v>44761</v>
      </c>
      <c r="B97">
        <v>300.5</v>
      </c>
      <c r="C97">
        <v>-40</v>
      </c>
      <c r="D97">
        <v>291.12136129110399</v>
      </c>
      <c r="E97">
        <f t="shared" si="4"/>
        <v>-9.3786387088960055</v>
      </c>
      <c r="F97">
        <f t="shared" si="5"/>
        <v>0</v>
      </c>
      <c r="G97">
        <f t="shared" si="3"/>
        <v>-9.3786387088960055</v>
      </c>
      <c r="H97">
        <f>IF(E97&lt;0,-1,1)</f>
        <v>-1</v>
      </c>
      <c r="I97">
        <f>H96+H97</f>
        <v>-2</v>
      </c>
      <c r="J97">
        <v>0</v>
      </c>
    </row>
    <row r="98" spans="1:10" x14ac:dyDescent="0.25">
      <c r="A98" s="1">
        <v>44762</v>
      </c>
      <c r="B98">
        <v>299</v>
      </c>
      <c r="C98">
        <v>-40</v>
      </c>
      <c r="D98">
        <v>291.12136129110399</v>
      </c>
      <c r="E98">
        <f t="shared" si="4"/>
        <v>-7.8786387088960055</v>
      </c>
      <c r="F98">
        <f t="shared" si="5"/>
        <v>0</v>
      </c>
      <c r="G98">
        <f t="shared" si="3"/>
        <v>-7.8786387088960055</v>
      </c>
      <c r="H98">
        <f>IF(E98&lt;0,-1,1)</f>
        <v>-1</v>
      </c>
      <c r="I98">
        <f>H97+H98</f>
        <v>-2</v>
      </c>
      <c r="J98">
        <v>0</v>
      </c>
    </row>
    <row r="99" spans="1:10" x14ac:dyDescent="0.25">
      <c r="A99" s="1">
        <v>44763</v>
      </c>
      <c r="B99">
        <v>307</v>
      </c>
      <c r="C99">
        <v>-40</v>
      </c>
      <c r="D99">
        <v>291.12136129110399</v>
      </c>
      <c r="E99">
        <f t="shared" si="4"/>
        <v>-15.878638708896005</v>
      </c>
      <c r="F99">
        <f t="shared" si="5"/>
        <v>0</v>
      </c>
      <c r="G99">
        <f t="shared" si="3"/>
        <v>-15.878638708896005</v>
      </c>
      <c r="H99">
        <f>IF(E99&lt;0,-1,1)</f>
        <v>-1</v>
      </c>
      <c r="I99">
        <f>H98+H99</f>
        <v>-2</v>
      </c>
      <c r="J99">
        <v>0</v>
      </c>
    </row>
    <row r="100" spans="1:10" x14ac:dyDescent="0.25">
      <c r="A100" s="1">
        <v>44764</v>
      </c>
      <c r="B100">
        <v>304.5</v>
      </c>
      <c r="C100">
        <v>-40</v>
      </c>
      <c r="D100">
        <v>291.12136129110399</v>
      </c>
      <c r="E100">
        <f t="shared" si="4"/>
        <v>-13.378638708896005</v>
      </c>
      <c r="F100">
        <f t="shared" si="5"/>
        <v>0</v>
      </c>
      <c r="G100">
        <f t="shared" si="3"/>
        <v>-13.378638708896005</v>
      </c>
      <c r="H100">
        <f>IF(E100&lt;0,-1,1)</f>
        <v>-1</v>
      </c>
      <c r="I100">
        <f>H99+H100</f>
        <v>-2</v>
      </c>
      <c r="J100">
        <v>0</v>
      </c>
    </row>
    <row r="101" spans="1:10" x14ac:dyDescent="0.25">
      <c r="A101" s="1">
        <v>44767</v>
      </c>
      <c r="B101">
        <v>298.5</v>
      </c>
      <c r="C101">
        <v>-40</v>
      </c>
      <c r="D101">
        <v>291.12136129110399</v>
      </c>
      <c r="E101">
        <f t="shared" si="4"/>
        <v>-7.3786387088960055</v>
      </c>
      <c r="F101">
        <f t="shared" si="5"/>
        <v>0</v>
      </c>
      <c r="G101">
        <f t="shared" si="3"/>
        <v>-7.3786387088960055</v>
      </c>
      <c r="H101">
        <f>IF(E101&lt;0,-1,1)</f>
        <v>-1</v>
      </c>
      <c r="I101">
        <f>H100+H101</f>
        <v>-2</v>
      </c>
      <c r="J101">
        <v>0</v>
      </c>
    </row>
    <row r="102" spans="1:10" x14ac:dyDescent="0.25">
      <c r="A102" s="1">
        <v>44768</v>
      </c>
      <c r="B102">
        <v>290</v>
      </c>
      <c r="C102">
        <v>-40</v>
      </c>
      <c r="D102">
        <v>291.12136129110399</v>
      </c>
      <c r="E102">
        <f t="shared" si="4"/>
        <v>1.1213612911039945</v>
      </c>
      <c r="F102">
        <f t="shared" si="5"/>
        <v>0</v>
      </c>
      <c r="G102">
        <f t="shared" si="3"/>
        <v>1.1213612911039945</v>
      </c>
      <c r="H102">
        <f>IF(E102&lt;0,-1,1)</f>
        <v>1</v>
      </c>
      <c r="I102">
        <f>H101+H102</f>
        <v>0</v>
      </c>
      <c r="J102">
        <v>0</v>
      </c>
    </row>
    <row r="103" spans="1:10" x14ac:dyDescent="0.25">
      <c r="A103" s="1">
        <v>44769</v>
      </c>
      <c r="B103">
        <v>293.5</v>
      </c>
      <c r="C103">
        <v>-40</v>
      </c>
      <c r="D103">
        <v>291.12136129110399</v>
      </c>
      <c r="E103">
        <f t="shared" si="4"/>
        <v>-2.3786387088960055</v>
      </c>
      <c r="F103">
        <f t="shared" si="5"/>
        <v>0</v>
      </c>
      <c r="G103">
        <f t="shared" si="3"/>
        <v>-2.3786387088960055</v>
      </c>
      <c r="H103">
        <f>IF(E103&lt;0,-1,1)</f>
        <v>-1</v>
      </c>
      <c r="I103">
        <f>H102+H103</f>
        <v>0</v>
      </c>
      <c r="J103">
        <v>0</v>
      </c>
    </row>
    <row r="104" spans="1:10" x14ac:dyDescent="0.25">
      <c r="A104" s="1">
        <v>44770</v>
      </c>
      <c r="B104">
        <v>290</v>
      </c>
      <c r="C104">
        <v>-40</v>
      </c>
      <c r="D104">
        <v>291.12136129110399</v>
      </c>
      <c r="E104">
        <f t="shared" si="4"/>
        <v>1.1213612911039945</v>
      </c>
      <c r="F104">
        <f t="shared" si="5"/>
        <v>0</v>
      </c>
      <c r="G104">
        <f t="shared" si="3"/>
        <v>1.1213612911039945</v>
      </c>
      <c r="H104">
        <f>IF(E104&lt;0,-1,1)</f>
        <v>1</v>
      </c>
      <c r="I104">
        <f>H103+H104</f>
        <v>0</v>
      </c>
      <c r="J104">
        <v>0</v>
      </c>
    </row>
    <row r="105" spans="1:10" x14ac:dyDescent="0.25">
      <c r="A105" s="1">
        <v>44771</v>
      </c>
      <c r="B105">
        <v>293</v>
      </c>
      <c r="C105">
        <v>-40</v>
      </c>
      <c r="D105">
        <v>291.12136129110399</v>
      </c>
      <c r="E105">
        <f t="shared" si="4"/>
        <v>-1.8786387088960055</v>
      </c>
      <c r="F105">
        <f t="shared" si="5"/>
        <v>0</v>
      </c>
      <c r="G105">
        <f t="shared" si="3"/>
        <v>-1.8786387088960055</v>
      </c>
      <c r="H105">
        <f>IF(E105&lt;0,-1,1)</f>
        <v>-1</v>
      </c>
      <c r="I105">
        <f>H104+H105</f>
        <v>0</v>
      </c>
      <c r="J105">
        <v>0</v>
      </c>
    </row>
    <row r="106" spans="1:10" x14ac:dyDescent="0.25">
      <c r="A106" s="1">
        <v>44774</v>
      </c>
      <c r="B106">
        <v>286</v>
      </c>
      <c r="C106">
        <v>-40</v>
      </c>
      <c r="D106">
        <v>291.12136129110399</v>
      </c>
      <c r="E106">
        <f t="shared" si="4"/>
        <v>5.1213612911039945</v>
      </c>
      <c r="F106">
        <f t="shared" si="5"/>
        <v>0</v>
      </c>
      <c r="G106">
        <f t="shared" si="3"/>
        <v>5.1213612911039945</v>
      </c>
      <c r="H106">
        <f>IF(E106&lt;0,-1,1)</f>
        <v>1</v>
      </c>
      <c r="I106">
        <f>H105+H106</f>
        <v>0</v>
      </c>
      <c r="J106">
        <v>0</v>
      </c>
    </row>
    <row r="107" spans="1:10" x14ac:dyDescent="0.25">
      <c r="A107" s="1">
        <v>44775</v>
      </c>
      <c r="B107">
        <v>284</v>
      </c>
      <c r="C107">
        <v>-40</v>
      </c>
      <c r="D107">
        <v>291.12136129110399</v>
      </c>
      <c r="E107">
        <f t="shared" si="4"/>
        <v>7.1213612911039945</v>
      </c>
      <c r="F107">
        <f t="shared" si="5"/>
        <v>0</v>
      </c>
      <c r="G107">
        <f t="shared" si="3"/>
        <v>7.1213612911039945</v>
      </c>
      <c r="H107">
        <f>IF(E107&lt;0,-1,1)</f>
        <v>1</v>
      </c>
      <c r="I107">
        <f>H106+H107</f>
        <v>2</v>
      </c>
      <c r="J107">
        <v>0</v>
      </c>
    </row>
    <row r="108" spans="1:10" x14ac:dyDescent="0.25">
      <c r="A108" s="1">
        <v>44776</v>
      </c>
      <c r="B108">
        <v>283</v>
      </c>
      <c r="C108">
        <v>-40</v>
      </c>
      <c r="D108">
        <v>291.12136129110399</v>
      </c>
      <c r="E108">
        <f t="shared" si="4"/>
        <v>8.1213612911039945</v>
      </c>
      <c r="F108">
        <f t="shared" si="5"/>
        <v>0</v>
      </c>
      <c r="G108">
        <f t="shared" si="3"/>
        <v>8.1213612911039945</v>
      </c>
      <c r="H108">
        <f>IF(E108&lt;0,-1,1)</f>
        <v>1</v>
      </c>
      <c r="I108">
        <f>H107+H108</f>
        <v>2</v>
      </c>
      <c r="J108">
        <v>0</v>
      </c>
    </row>
    <row r="109" spans="1:10" x14ac:dyDescent="0.25">
      <c r="A109" s="1">
        <v>44777</v>
      </c>
      <c r="B109">
        <v>287</v>
      </c>
      <c r="C109">
        <v>-40</v>
      </c>
      <c r="D109">
        <v>291.12136129110399</v>
      </c>
      <c r="E109">
        <f t="shared" si="4"/>
        <v>4.1213612911039945</v>
      </c>
      <c r="F109">
        <f t="shared" si="5"/>
        <v>0</v>
      </c>
      <c r="G109">
        <f t="shared" si="3"/>
        <v>4.1213612911039945</v>
      </c>
      <c r="H109">
        <f>IF(E109&lt;0,-1,1)</f>
        <v>1</v>
      </c>
      <c r="I109">
        <f>H108+H109</f>
        <v>2</v>
      </c>
      <c r="J109">
        <v>0</v>
      </c>
    </row>
    <row r="110" spans="1:10" x14ac:dyDescent="0.25">
      <c r="A110" s="1">
        <v>44778</v>
      </c>
      <c r="B110">
        <v>294</v>
      </c>
      <c r="C110">
        <v>-40</v>
      </c>
      <c r="D110">
        <v>291.12136129110399</v>
      </c>
      <c r="E110">
        <f t="shared" si="4"/>
        <v>-2.8786387088960055</v>
      </c>
      <c r="F110">
        <f t="shared" si="5"/>
        <v>0</v>
      </c>
      <c r="G110">
        <f t="shared" si="3"/>
        <v>-2.8786387088960055</v>
      </c>
      <c r="H110">
        <f>IF(E110&lt;0,-1,1)</f>
        <v>-1</v>
      </c>
      <c r="I110">
        <f>H109+H110</f>
        <v>0</v>
      </c>
      <c r="J110">
        <v>0</v>
      </c>
    </row>
    <row r="111" spans="1:10" x14ac:dyDescent="0.25">
      <c r="A111" s="1">
        <v>44781</v>
      </c>
      <c r="B111">
        <v>292</v>
      </c>
      <c r="C111">
        <v>-40</v>
      </c>
      <c r="D111">
        <v>291.12136129110399</v>
      </c>
      <c r="E111">
        <f t="shared" si="4"/>
        <v>-0.87863870889600548</v>
      </c>
      <c r="F111">
        <f t="shared" si="5"/>
        <v>0</v>
      </c>
      <c r="G111">
        <f t="shared" si="3"/>
        <v>-0.87863870889600548</v>
      </c>
      <c r="H111">
        <f>IF(E111&lt;0,-1,1)</f>
        <v>-1</v>
      </c>
      <c r="I111">
        <f>H110+H111</f>
        <v>-2</v>
      </c>
      <c r="J111">
        <v>0</v>
      </c>
    </row>
    <row r="112" spans="1:10" x14ac:dyDescent="0.25">
      <c r="A112" s="1">
        <v>44782</v>
      </c>
      <c r="B112">
        <v>294</v>
      </c>
      <c r="C112">
        <v>-40</v>
      </c>
      <c r="D112">
        <v>291.12136129110399</v>
      </c>
      <c r="E112">
        <f t="shared" si="4"/>
        <v>-2.8786387088960055</v>
      </c>
      <c r="F112">
        <f t="shared" si="5"/>
        <v>0</v>
      </c>
      <c r="G112">
        <f t="shared" si="3"/>
        <v>-2.8786387088960055</v>
      </c>
      <c r="H112">
        <f>IF(E112&lt;0,-1,1)</f>
        <v>-1</v>
      </c>
      <c r="I112">
        <f>H111+H112</f>
        <v>-2</v>
      </c>
      <c r="J112">
        <v>0</v>
      </c>
    </row>
    <row r="113" spans="1:10" x14ac:dyDescent="0.25">
      <c r="A113" s="1">
        <v>44783</v>
      </c>
      <c r="B113">
        <v>292</v>
      </c>
      <c r="C113">
        <v>-40</v>
      </c>
      <c r="D113">
        <v>291.12136129110399</v>
      </c>
      <c r="E113">
        <f t="shared" si="4"/>
        <v>-0.87863870889600548</v>
      </c>
      <c r="F113">
        <f t="shared" si="5"/>
        <v>0</v>
      </c>
      <c r="G113">
        <f t="shared" si="3"/>
        <v>-0.87863870889600548</v>
      </c>
      <c r="H113">
        <f>IF(E113&lt;0,-1,1)</f>
        <v>-1</v>
      </c>
      <c r="I113">
        <f>H112+H113</f>
        <v>-2</v>
      </c>
      <c r="J113">
        <v>0</v>
      </c>
    </row>
    <row r="114" spans="1:10" x14ac:dyDescent="0.25">
      <c r="A114" s="1">
        <v>44784</v>
      </c>
      <c r="B114">
        <v>302.5</v>
      </c>
      <c r="C114">
        <v>-40</v>
      </c>
      <c r="D114">
        <v>291.12136129110399</v>
      </c>
      <c r="E114">
        <f t="shared" si="4"/>
        <v>-11.378638708896005</v>
      </c>
      <c r="F114">
        <f t="shared" si="5"/>
        <v>0</v>
      </c>
      <c r="G114">
        <f t="shared" si="3"/>
        <v>-11.378638708896005</v>
      </c>
      <c r="H114">
        <f>IF(E114&lt;0,-1,1)</f>
        <v>-1</v>
      </c>
      <c r="I114">
        <f>H113+H114</f>
        <v>-2</v>
      </c>
      <c r="J114">
        <v>0</v>
      </c>
    </row>
    <row r="115" spans="1:10" x14ac:dyDescent="0.25">
      <c r="A115" s="1">
        <v>44785</v>
      </c>
      <c r="B115">
        <v>309</v>
      </c>
      <c r="C115">
        <v>-40</v>
      </c>
      <c r="D115">
        <v>291.12136129110399</v>
      </c>
      <c r="E115">
        <f t="shared" si="4"/>
        <v>-17.878638708896005</v>
      </c>
      <c r="F115">
        <f t="shared" si="5"/>
        <v>0</v>
      </c>
      <c r="G115">
        <f t="shared" si="3"/>
        <v>-17.878638708896005</v>
      </c>
      <c r="H115">
        <f>IF(E115&lt;0,-1,1)</f>
        <v>-1</v>
      </c>
      <c r="I115">
        <f>H114+H115</f>
        <v>-2</v>
      </c>
      <c r="J115">
        <v>0</v>
      </c>
    </row>
    <row r="116" spans="1:10" x14ac:dyDescent="0.25">
      <c r="A116" s="1">
        <v>44788</v>
      </c>
      <c r="B116">
        <v>312</v>
      </c>
      <c r="C116">
        <v>-40</v>
      </c>
      <c r="D116">
        <v>291.12136129110399</v>
      </c>
      <c r="E116">
        <f t="shared" si="4"/>
        <v>-20.878638708896005</v>
      </c>
      <c r="F116">
        <f t="shared" si="5"/>
        <v>0</v>
      </c>
      <c r="G116">
        <f t="shared" si="3"/>
        <v>-20.878638708896005</v>
      </c>
      <c r="H116">
        <f>IF(E116&lt;0,-1,1)</f>
        <v>-1</v>
      </c>
      <c r="I116">
        <f>H115+H116</f>
        <v>-2</v>
      </c>
      <c r="J116">
        <v>0</v>
      </c>
    </row>
    <row r="117" spans="1:10" x14ac:dyDescent="0.25">
      <c r="A117" s="1">
        <v>44789</v>
      </c>
      <c r="B117">
        <v>307.5</v>
      </c>
      <c r="C117">
        <v>-40</v>
      </c>
      <c r="D117">
        <v>291.12136129110399</v>
      </c>
      <c r="E117">
        <f t="shared" si="4"/>
        <v>-16.378638708896005</v>
      </c>
      <c r="F117">
        <f t="shared" si="5"/>
        <v>0</v>
      </c>
      <c r="G117">
        <f t="shared" si="3"/>
        <v>-16.378638708896005</v>
      </c>
      <c r="H117">
        <f>IF(E117&lt;0,-1,1)</f>
        <v>-1</v>
      </c>
      <c r="I117">
        <f>H116+H117</f>
        <v>-2</v>
      </c>
      <c r="J117">
        <v>0</v>
      </c>
    </row>
    <row r="118" spans="1:10" x14ac:dyDescent="0.25">
      <c r="A118" s="1">
        <v>44790</v>
      </c>
      <c r="B118">
        <v>310.5</v>
      </c>
      <c r="C118">
        <v>-40</v>
      </c>
      <c r="D118">
        <v>291.12136129110399</v>
      </c>
      <c r="E118">
        <f t="shared" si="4"/>
        <v>-19.378638708896005</v>
      </c>
      <c r="F118">
        <f t="shared" si="5"/>
        <v>0</v>
      </c>
      <c r="G118">
        <f t="shared" si="3"/>
        <v>-19.378638708896005</v>
      </c>
      <c r="H118">
        <f>IF(E118&lt;0,-1,1)</f>
        <v>-1</v>
      </c>
      <c r="I118">
        <f>H117+H118</f>
        <v>-2</v>
      </c>
      <c r="J118">
        <v>0</v>
      </c>
    </row>
    <row r="119" spans="1:10" x14ac:dyDescent="0.25">
      <c r="A119" s="1">
        <v>44791</v>
      </c>
      <c r="B119">
        <v>309.5</v>
      </c>
      <c r="C119">
        <v>-40</v>
      </c>
      <c r="D119">
        <v>291.12136129110399</v>
      </c>
      <c r="E119">
        <f t="shared" si="4"/>
        <v>-18.378638708896005</v>
      </c>
      <c r="F119">
        <f t="shared" si="5"/>
        <v>0</v>
      </c>
      <c r="G119">
        <f t="shared" si="3"/>
        <v>-18.378638708896005</v>
      </c>
      <c r="H119">
        <f>IF(E119&lt;0,-1,1)</f>
        <v>-1</v>
      </c>
      <c r="I119">
        <f>H118+H119</f>
        <v>-2</v>
      </c>
      <c r="J119">
        <v>0</v>
      </c>
    </row>
    <row r="120" spans="1:10" x14ac:dyDescent="0.25">
      <c r="A120" s="1">
        <v>44792</v>
      </c>
      <c r="B120">
        <v>314</v>
      </c>
      <c r="C120">
        <v>-40</v>
      </c>
      <c r="D120">
        <v>291.12136129110399</v>
      </c>
      <c r="E120">
        <f t="shared" si="4"/>
        <v>-22.878638708896005</v>
      </c>
      <c r="F120">
        <f t="shared" si="5"/>
        <v>0</v>
      </c>
      <c r="G120">
        <f t="shared" si="3"/>
        <v>-22.878638708896005</v>
      </c>
      <c r="H120">
        <f>IF(E120&lt;0,-1,1)</f>
        <v>-1</v>
      </c>
      <c r="I120">
        <f>H119+H120</f>
        <v>-2</v>
      </c>
      <c r="J120">
        <v>0</v>
      </c>
    </row>
    <row r="121" spans="1:10" x14ac:dyDescent="0.25">
      <c r="A121" s="1">
        <v>44795</v>
      </c>
      <c r="B121">
        <v>310</v>
      </c>
      <c r="C121">
        <v>-40</v>
      </c>
      <c r="D121">
        <v>291.12136129110399</v>
      </c>
      <c r="E121">
        <f t="shared" si="4"/>
        <v>-18.878638708896005</v>
      </c>
      <c r="F121">
        <f t="shared" si="5"/>
        <v>0</v>
      </c>
      <c r="G121">
        <f t="shared" si="3"/>
        <v>-18.878638708896005</v>
      </c>
      <c r="H121">
        <f>IF(E121&lt;0,-1,1)</f>
        <v>-1</v>
      </c>
      <c r="I121">
        <f>H120+H121</f>
        <v>-2</v>
      </c>
      <c r="J121">
        <v>0</v>
      </c>
    </row>
    <row r="122" spans="1:10" x14ac:dyDescent="0.25">
      <c r="A122" s="1">
        <v>44796</v>
      </c>
      <c r="B122">
        <v>304.5</v>
      </c>
      <c r="C122">
        <v>-40</v>
      </c>
      <c r="D122">
        <v>291.12136129110399</v>
      </c>
      <c r="E122">
        <f t="shared" si="4"/>
        <v>-13.378638708896005</v>
      </c>
      <c r="F122">
        <f t="shared" si="5"/>
        <v>0</v>
      </c>
      <c r="G122">
        <f t="shared" si="3"/>
        <v>-13.378638708896005</v>
      </c>
      <c r="H122">
        <f>IF(E122&lt;0,-1,1)</f>
        <v>-1</v>
      </c>
      <c r="I122">
        <f>H121+H122</f>
        <v>-2</v>
      </c>
      <c r="J122">
        <v>0</v>
      </c>
    </row>
    <row r="123" spans="1:10" x14ac:dyDescent="0.25">
      <c r="A123" s="1">
        <v>44797</v>
      </c>
      <c r="B123">
        <v>306</v>
      </c>
      <c r="C123">
        <v>-40</v>
      </c>
      <c r="D123">
        <v>291.12136129110399</v>
      </c>
      <c r="E123">
        <f t="shared" si="4"/>
        <v>-14.878638708896005</v>
      </c>
      <c r="F123">
        <f t="shared" si="5"/>
        <v>0</v>
      </c>
      <c r="G123">
        <f t="shared" si="3"/>
        <v>-14.878638708896005</v>
      </c>
      <c r="H123">
        <f>IF(E123&lt;0,-1,1)</f>
        <v>-1</v>
      </c>
      <c r="I123">
        <f>H122+H123</f>
        <v>-2</v>
      </c>
      <c r="J123">
        <v>0</v>
      </c>
    </row>
    <row r="124" spans="1:10" x14ac:dyDescent="0.25">
      <c r="A124" s="1">
        <v>44798</v>
      </c>
      <c r="B124">
        <v>311</v>
      </c>
      <c r="C124">
        <v>-40</v>
      </c>
      <c r="D124">
        <v>291.12136129110399</v>
      </c>
      <c r="E124">
        <f t="shared" si="4"/>
        <v>-19.878638708896005</v>
      </c>
      <c r="F124">
        <f t="shared" si="5"/>
        <v>0</v>
      </c>
      <c r="G124">
        <f t="shared" si="3"/>
        <v>-19.878638708896005</v>
      </c>
      <c r="H124">
        <f>IF(E124&lt;0,-1,1)</f>
        <v>-1</v>
      </c>
      <c r="I124">
        <f>H123+H124</f>
        <v>-2</v>
      </c>
      <c r="J124">
        <v>0</v>
      </c>
    </row>
    <row r="125" spans="1:10" x14ac:dyDescent="0.25">
      <c r="A125" s="1">
        <v>44799</v>
      </c>
      <c r="B125">
        <v>317</v>
      </c>
      <c r="C125">
        <v>-40</v>
      </c>
      <c r="D125">
        <v>291.12136129110399</v>
      </c>
      <c r="E125">
        <f t="shared" si="4"/>
        <v>-25.878638708896005</v>
      </c>
      <c r="F125">
        <f t="shared" si="5"/>
        <v>0</v>
      </c>
      <c r="G125">
        <f t="shared" si="3"/>
        <v>-25.878638708896005</v>
      </c>
      <c r="H125">
        <f>IF(E125&lt;0,-1,1)</f>
        <v>-1</v>
      </c>
      <c r="I125">
        <f>H124+H125</f>
        <v>-2</v>
      </c>
      <c r="J125">
        <v>0</v>
      </c>
    </row>
    <row r="126" spans="1:10" x14ac:dyDescent="0.25">
      <c r="A126" s="1">
        <v>44802</v>
      </c>
      <c r="B126">
        <v>307.5</v>
      </c>
      <c r="C126">
        <v>-40</v>
      </c>
      <c r="D126">
        <v>291.12136129110399</v>
      </c>
      <c r="E126">
        <f t="shared" si="4"/>
        <v>-16.378638708896005</v>
      </c>
      <c r="F126">
        <f t="shared" si="5"/>
        <v>0</v>
      </c>
      <c r="G126">
        <f t="shared" si="3"/>
        <v>-16.378638708896005</v>
      </c>
      <c r="H126">
        <f>IF(E126&lt;0,-1,1)</f>
        <v>-1</v>
      </c>
      <c r="I126">
        <f>H125+H126</f>
        <v>-2</v>
      </c>
      <c r="J126">
        <v>0</v>
      </c>
    </row>
    <row r="127" spans="1:10" x14ac:dyDescent="0.25">
      <c r="A127" s="1">
        <v>44803</v>
      </c>
      <c r="B127">
        <v>308</v>
      </c>
      <c r="C127">
        <v>-40</v>
      </c>
      <c r="D127">
        <v>291.12136129110399</v>
      </c>
      <c r="E127">
        <f t="shared" si="4"/>
        <v>-16.878638708896005</v>
      </c>
      <c r="F127">
        <f t="shared" si="5"/>
        <v>0</v>
      </c>
      <c r="G127">
        <f t="shared" si="3"/>
        <v>-16.878638708896005</v>
      </c>
      <c r="H127">
        <f>IF(E127&lt;0,-1,1)</f>
        <v>-1</v>
      </c>
      <c r="I127">
        <f>H126+H127</f>
        <v>-2</v>
      </c>
      <c r="J127">
        <v>0</v>
      </c>
    </row>
    <row r="128" spans="1:10" x14ac:dyDescent="0.25">
      <c r="A128" s="1">
        <v>44804</v>
      </c>
      <c r="B128">
        <v>312.5</v>
      </c>
      <c r="C128">
        <v>-40</v>
      </c>
      <c r="D128">
        <v>291.12136129110399</v>
      </c>
      <c r="E128">
        <f t="shared" si="4"/>
        <v>-21.378638708896005</v>
      </c>
      <c r="F128">
        <f t="shared" si="5"/>
        <v>0</v>
      </c>
      <c r="G128">
        <f t="shared" si="3"/>
        <v>-21.378638708896005</v>
      </c>
      <c r="H128">
        <f>IF(E128&lt;0,-1,1)</f>
        <v>-1</v>
      </c>
      <c r="I128">
        <f>H127+H128</f>
        <v>-2</v>
      </c>
      <c r="J128">
        <v>0</v>
      </c>
    </row>
    <row r="129" spans="1:10" x14ac:dyDescent="0.25">
      <c r="A129" s="1">
        <v>44805</v>
      </c>
      <c r="B129">
        <v>303.5</v>
      </c>
      <c r="C129">
        <v>-40</v>
      </c>
      <c r="D129">
        <v>291.12136129110399</v>
      </c>
      <c r="E129">
        <f t="shared" si="4"/>
        <v>-12.378638708896005</v>
      </c>
      <c r="F129">
        <f t="shared" si="5"/>
        <v>0</v>
      </c>
      <c r="G129">
        <f t="shared" si="3"/>
        <v>-12.378638708896005</v>
      </c>
      <c r="H129">
        <f>IF(E129&lt;0,-1,1)</f>
        <v>-1</v>
      </c>
      <c r="I129">
        <f>H128+H129</f>
        <v>-2</v>
      </c>
      <c r="J129">
        <v>0</v>
      </c>
    </row>
    <row r="130" spans="1:10" x14ac:dyDescent="0.25">
      <c r="A130" s="1">
        <v>44806</v>
      </c>
      <c r="B130">
        <v>302</v>
      </c>
      <c r="C130">
        <v>-40</v>
      </c>
      <c r="D130">
        <v>291.12136129110399</v>
      </c>
      <c r="E130">
        <f t="shared" si="4"/>
        <v>-10.878638708896005</v>
      </c>
      <c r="F130">
        <f t="shared" si="5"/>
        <v>0</v>
      </c>
      <c r="G130">
        <f t="shared" si="3"/>
        <v>-10.878638708896005</v>
      </c>
      <c r="H130">
        <f>IF(E130&lt;0,-1,1)</f>
        <v>-1</v>
      </c>
      <c r="I130">
        <f>H129+H130</f>
        <v>-2</v>
      </c>
      <c r="J130">
        <v>0</v>
      </c>
    </row>
    <row r="131" spans="1:10" x14ac:dyDescent="0.25">
      <c r="A131" s="1">
        <v>44809</v>
      </c>
      <c r="B131">
        <v>293</v>
      </c>
      <c r="C131">
        <v>-40</v>
      </c>
      <c r="D131">
        <v>291.12136129110399</v>
      </c>
      <c r="E131">
        <f t="shared" si="4"/>
        <v>-1.8786387088960055</v>
      </c>
      <c r="F131">
        <f t="shared" si="5"/>
        <v>0</v>
      </c>
      <c r="G131">
        <f t="shared" ref="G131:G194" si="6">D131-B131</f>
        <v>-1.8786387088960055</v>
      </c>
      <c r="H131">
        <f>IF(E131&lt;0,-1,1)</f>
        <v>-1</v>
      </c>
      <c r="I131">
        <f>H130+H131</f>
        <v>-2</v>
      </c>
      <c r="J131">
        <v>0</v>
      </c>
    </row>
    <row r="132" spans="1:10" x14ac:dyDescent="0.25">
      <c r="A132" s="1">
        <v>44810</v>
      </c>
      <c r="B132">
        <v>297.5</v>
      </c>
      <c r="C132">
        <v>-40</v>
      </c>
      <c r="D132">
        <v>291.12136129110399</v>
      </c>
      <c r="E132">
        <f t="shared" ref="E132:E195" si="7">D132-B132</f>
        <v>-6.3786387088960055</v>
      </c>
      <c r="F132">
        <f t="shared" ref="F132:F195" si="8">D132-D131</f>
        <v>0</v>
      </c>
      <c r="G132">
        <f t="shared" si="6"/>
        <v>-6.3786387088960055</v>
      </c>
      <c r="H132">
        <f>IF(E132&lt;0,-1,1)</f>
        <v>-1</v>
      </c>
      <c r="I132">
        <f>H131+H132</f>
        <v>-2</v>
      </c>
      <c r="J132">
        <v>0</v>
      </c>
    </row>
    <row r="133" spans="1:10" x14ac:dyDescent="0.25">
      <c r="A133" s="1">
        <v>44811</v>
      </c>
      <c r="B133">
        <v>293.5</v>
      </c>
      <c r="C133">
        <v>-40</v>
      </c>
      <c r="D133">
        <v>291.12136129110399</v>
      </c>
      <c r="E133">
        <f t="shared" si="7"/>
        <v>-2.3786387088960055</v>
      </c>
      <c r="F133">
        <f t="shared" si="8"/>
        <v>0</v>
      </c>
      <c r="G133">
        <f t="shared" si="6"/>
        <v>-2.3786387088960055</v>
      </c>
      <c r="H133">
        <f>IF(E133&lt;0,-1,1)</f>
        <v>-1</v>
      </c>
      <c r="I133">
        <f>H132+H133</f>
        <v>-2</v>
      </c>
      <c r="J133">
        <v>0</v>
      </c>
    </row>
    <row r="134" spans="1:10" x14ac:dyDescent="0.25">
      <c r="A134" s="1">
        <v>44812</v>
      </c>
      <c r="B134">
        <v>301</v>
      </c>
      <c r="C134">
        <v>-40</v>
      </c>
      <c r="D134">
        <v>291.12136129110399</v>
      </c>
      <c r="E134">
        <f t="shared" si="7"/>
        <v>-9.8786387088960055</v>
      </c>
      <c r="F134">
        <f t="shared" si="8"/>
        <v>0</v>
      </c>
      <c r="G134">
        <f t="shared" si="6"/>
        <v>-9.8786387088960055</v>
      </c>
      <c r="H134">
        <f>IF(E134&lt;0,-1,1)</f>
        <v>-1</v>
      </c>
      <c r="I134">
        <f>H133+H134</f>
        <v>-2</v>
      </c>
      <c r="J134">
        <v>0</v>
      </c>
    </row>
    <row r="135" spans="1:10" x14ac:dyDescent="0.25">
      <c r="A135" s="1">
        <v>44816</v>
      </c>
      <c r="B135">
        <v>303</v>
      </c>
      <c r="C135">
        <v>-40</v>
      </c>
      <c r="D135">
        <v>291.12136129110399</v>
      </c>
      <c r="E135">
        <f t="shared" si="7"/>
        <v>-11.878638708896005</v>
      </c>
      <c r="F135">
        <f t="shared" si="8"/>
        <v>0</v>
      </c>
      <c r="G135">
        <f t="shared" si="6"/>
        <v>-11.878638708896005</v>
      </c>
      <c r="H135">
        <f>IF(E135&lt;0,-1,1)</f>
        <v>-1</v>
      </c>
      <c r="I135">
        <f>H134+H135</f>
        <v>-2</v>
      </c>
      <c r="J135">
        <v>0</v>
      </c>
    </row>
    <row r="136" spans="1:10" x14ac:dyDescent="0.25">
      <c r="A136" s="1">
        <v>44817</v>
      </c>
      <c r="B136">
        <v>301.5</v>
      </c>
      <c r="C136">
        <v>-40</v>
      </c>
      <c r="D136">
        <v>291.12136129110399</v>
      </c>
      <c r="E136">
        <f t="shared" si="7"/>
        <v>-10.378638708896005</v>
      </c>
      <c r="F136">
        <f t="shared" si="8"/>
        <v>0</v>
      </c>
      <c r="G136">
        <f t="shared" si="6"/>
        <v>-10.378638708896005</v>
      </c>
      <c r="H136">
        <f>IF(E136&lt;0,-1,1)</f>
        <v>-1</v>
      </c>
      <c r="I136">
        <f>H135+H136</f>
        <v>-2</v>
      </c>
      <c r="J136">
        <v>0</v>
      </c>
    </row>
    <row r="137" spans="1:10" x14ac:dyDescent="0.25">
      <c r="A137" s="1">
        <v>44818</v>
      </c>
      <c r="B137">
        <v>298</v>
      </c>
      <c r="C137">
        <v>-40</v>
      </c>
      <c r="D137">
        <v>291.12136129110399</v>
      </c>
      <c r="E137">
        <f t="shared" si="7"/>
        <v>-6.8786387088960055</v>
      </c>
      <c r="F137">
        <f t="shared" si="8"/>
        <v>0</v>
      </c>
      <c r="G137">
        <f t="shared" si="6"/>
        <v>-6.8786387088960055</v>
      </c>
      <c r="H137">
        <f>IF(E137&lt;0,-1,1)</f>
        <v>-1</v>
      </c>
      <c r="I137">
        <f>H136+H137</f>
        <v>-2</v>
      </c>
      <c r="J137">
        <v>0</v>
      </c>
    </row>
    <row r="138" spans="1:10" x14ac:dyDescent="0.25">
      <c r="A138" s="1">
        <v>44819</v>
      </c>
      <c r="B138">
        <v>300.5</v>
      </c>
      <c r="C138">
        <v>-40</v>
      </c>
      <c r="D138">
        <v>291.12136129110399</v>
      </c>
      <c r="E138">
        <f t="shared" si="7"/>
        <v>-9.3786387088960055</v>
      </c>
      <c r="F138">
        <f t="shared" si="8"/>
        <v>0</v>
      </c>
      <c r="G138">
        <f t="shared" si="6"/>
        <v>-9.3786387088960055</v>
      </c>
      <c r="H138">
        <f>IF(E138&lt;0,-1,1)</f>
        <v>-1</v>
      </c>
      <c r="I138">
        <f>H137+H138</f>
        <v>-2</v>
      </c>
      <c r="J138">
        <v>0</v>
      </c>
    </row>
    <row r="139" spans="1:10" x14ac:dyDescent="0.25">
      <c r="A139" s="1">
        <v>44820</v>
      </c>
      <c r="B139">
        <v>298.5</v>
      </c>
      <c r="C139">
        <v>-40</v>
      </c>
      <c r="D139">
        <v>291.12136129110399</v>
      </c>
      <c r="E139">
        <f t="shared" si="7"/>
        <v>-7.3786387088960055</v>
      </c>
      <c r="F139">
        <f t="shared" si="8"/>
        <v>0</v>
      </c>
      <c r="G139">
        <f t="shared" si="6"/>
        <v>-7.3786387088960055</v>
      </c>
      <c r="H139">
        <f>IF(E139&lt;0,-1,1)</f>
        <v>-1</v>
      </c>
      <c r="I139">
        <f>H138+H139</f>
        <v>-2</v>
      </c>
      <c r="J139">
        <v>0</v>
      </c>
    </row>
    <row r="140" spans="1:10" x14ac:dyDescent="0.25">
      <c r="A140" s="1">
        <v>44823</v>
      </c>
      <c r="B140">
        <v>290</v>
      </c>
      <c r="C140">
        <v>-40</v>
      </c>
      <c r="D140">
        <v>291.12136129110399</v>
      </c>
      <c r="E140">
        <f t="shared" si="7"/>
        <v>1.1213612911039945</v>
      </c>
      <c r="F140">
        <f t="shared" si="8"/>
        <v>0</v>
      </c>
      <c r="G140">
        <f t="shared" si="6"/>
        <v>1.1213612911039945</v>
      </c>
      <c r="H140">
        <f>IF(E140&lt;0,-1,1)</f>
        <v>1</v>
      </c>
      <c r="I140">
        <f>H139+H140</f>
        <v>0</v>
      </c>
      <c r="J140">
        <v>0</v>
      </c>
    </row>
    <row r="141" spans="1:10" x14ac:dyDescent="0.25">
      <c r="A141" s="1">
        <v>44824</v>
      </c>
      <c r="B141">
        <v>288.5</v>
      </c>
      <c r="C141">
        <v>-40</v>
      </c>
      <c r="D141">
        <v>291.12136129110399</v>
      </c>
      <c r="E141">
        <f t="shared" si="7"/>
        <v>2.6213612911039945</v>
      </c>
      <c r="F141">
        <f t="shared" si="8"/>
        <v>0</v>
      </c>
      <c r="G141">
        <f t="shared" si="6"/>
        <v>2.6213612911039945</v>
      </c>
      <c r="H141">
        <f>IF(E141&lt;0,-1,1)</f>
        <v>1</v>
      </c>
      <c r="I141">
        <f>H140+H141</f>
        <v>2</v>
      </c>
      <c r="J141">
        <v>0</v>
      </c>
    </row>
    <row r="142" spans="1:10" x14ac:dyDescent="0.25">
      <c r="A142" s="1">
        <v>44825</v>
      </c>
      <c r="B142">
        <v>275.5</v>
      </c>
      <c r="C142">
        <v>-40</v>
      </c>
      <c r="D142">
        <v>291.12136129110399</v>
      </c>
      <c r="E142">
        <f t="shared" si="7"/>
        <v>15.621361291103995</v>
      </c>
      <c r="F142">
        <f t="shared" si="8"/>
        <v>0</v>
      </c>
      <c r="G142">
        <f t="shared" si="6"/>
        <v>15.621361291103995</v>
      </c>
      <c r="H142">
        <f>IF(E142&lt;0,-1,1)</f>
        <v>1</v>
      </c>
      <c r="I142">
        <f>H141+H142</f>
        <v>2</v>
      </c>
      <c r="J142">
        <v>0</v>
      </c>
    </row>
    <row r="143" spans="1:10" x14ac:dyDescent="0.25">
      <c r="A143" s="1">
        <v>44826</v>
      </c>
      <c r="B143">
        <v>270</v>
      </c>
      <c r="C143">
        <v>-40</v>
      </c>
      <c r="D143">
        <v>291.12136129110399</v>
      </c>
      <c r="E143">
        <f t="shared" si="7"/>
        <v>21.121361291103995</v>
      </c>
      <c r="F143">
        <f t="shared" si="8"/>
        <v>0</v>
      </c>
      <c r="G143">
        <f t="shared" si="6"/>
        <v>21.121361291103995</v>
      </c>
      <c r="H143">
        <f>IF(E143&lt;0,-1,1)</f>
        <v>1</v>
      </c>
      <c r="I143">
        <f>H142+H143</f>
        <v>2</v>
      </c>
      <c r="J143">
        <v>0</v>
      </c>
    </row>
    <row r="144" spans="1:10" x14ac:dyDescent="0.25">
      <c r="A144" s="1">
        <v>44827</v>
      </c>
      <c r="B144">
        <v>268</v>
      </c>
      <c r="C144">
        <v>-40</v>
      </c>
      <c r="D144">
        <v>291.12136129110399</v>
      </c>
      <c r="E144">
        <f t="shared" si="7"/>
        <v>23.121361291103995</v>
      </c>
      <c r="F144">
        <f t="shared" si="8"/>
        <v>0</v>
      </c>
      <c r="G144">
        <f t="shared" si="6"/>
        <v>23.121361291103995</v>
      </c>
      <c r="H144">
        <f>IF(E144&lt;0,-1,1)</f>
        <v>1</v>
      </c>
      <c r="I144">
        <f>H143+H144</f>
        <v>2</v>
      </c>
      <c r="J144">
        <v>0</v>
      </c>
    </row>
    <row r="145" spans="1:10" x14ac:dyDescent="0.25">
      <c r="A145" s="1">
        <v>44830</v>
      </c>
      <c r="B145">
        <v>256</v>
      </c>
      <c r="C145">
        <v>-40</v>
      </c>
      <c r="D145">
        <v>291.12136129110399</v>
      </c>
      <c r="E145">
        <f t="shared" si="7"/>
        <v>35.121361291103995</v>
      </c>
      <c r="F145">
        <f t="shared" si="8"/>
        <v>0</v>
      </c>
      <c r="G145">
        <f t="shared" si="6"/>
        <v>35.121361291103995</v>
      </c>
      <c r="H145">
        <f>IF(E145&lt;0,-1,1)</f>
        <v>1</v>
      </c>
      <c r="I145">
        <f>H144+H145</f>
        <v>2</v>
      </c>
      <c r="J145">
        <v>0</v>
      </c>
    </row>
    <row r="146" spans="1:10" x14ac:dyDescent="0.25">
      <c r="A146" s="1">
        <v>44831</v>
      </c>
      <c r="B146">
        <v>259</v>
      </c>
      <c r="C146">
        <v>-40</v>
      </c>
      <c r="D146">
        <v>291.12136129110399</v>
      </c>
      <c r="E146">
        <f t="shared" si="7"/>
        <v>32.121361291103995</v>
      </c>
      <c r="F146">
        <f t="shared" si="8"/>
        <v>0</v>
      </c>
      <c r="G146">
        <f t="shared" si="6"/>
        <v>32.121361291103995</v>
      </c>
      <c r="H146">
        <f>IF(E146&lt;0,-1,1)</f>
        <v>1</v>
      </c>
      <c r="I146">
        <f>H145+H146</f>
        <v>2</v>
      </c>
      <c r="J146">
        <v>0</v>
      </c>
    </row>
    <row r="147" spans="1:10" x14ac:dyDescent="0.25">
      <c r="A147" s="1">
        <v>44832</v>
      </c>
      <c r="B147">
        <v>251</v>
      </c>
      <c r="C147">
        <v>-40</v>
      </c>
      <c r="D147">
        <v>291.12136129110399</v>
      </c>
      <c r="E147">
        <f t="shared" si="7"/>
        <v>40.121361291103995</v>
      </c>
      <c r="F147">
        <f t="shared" si="8"/>
        <v>0</v>
      </c>
      <c r="G147">
        <f t="shared" si="6"/>
        <v>40.121361291103995</v>
      </c>
      <c r="H147">
        <f>IF(E147&lt;0,-1,1)</f>
        <v>1</v>
      </c>
      <c r="I147">
        <f>H146+H147</f>
        <v>2</v>
      </c>
      <c r="J147">
        <v>0</v>
      </c>
    </row>
    <row r="148" spans="1:10" x14ac:dyDescent="0.25">
      <c r="A148" s="1">
        <v>44833</v>
      </c>
      <c r="B148">
        <v>253.5</v>
      </c>
      <c r="C148">
        <v>-40</v>
      </c>
      <c r="D148">
        <v>291.12136129110399</v>
      </c>
      <c r="E148">
        <f t="shared" si="7"/>
        <v>37.621361291103995</v>
      </c>
      <c r="F148">
        <f t="shared" si="8"/>
        <v>0</v>
      </c>
      <c r="G148">
        <f t="shared" si="6"/>
        <v>37.621361291103995</v>
      </c>
      <c r="H148">
        <f>IF(E148&lt;0,-1,1)</f>
        <v>1</v>
      </c>
      <c r="I148">
        <f>H147+H148</f>
        <v>2</v>
      </c>
      <c r="J148">
        <v>0</v>
      </c>
    </row>
    <row r="149" spans="1:10" x14ac:dyDescent="0.25">
      <c r="A149" s="1">
        <v>44834</v>
      </c>
      <c r="B149">
        <v>265.5</v>
      </c>
      <c r="C149">
        <v>-40</v>
      </c>
      <c r="D149">
        <v>291.12136129110399</v>
      </c>
      <c r="E149">
        <f t="shared" si="7"/>
        <v>25.621361291103995</v>
      </c>
      <c r="F149">
        <f t="shared" si="8"/>
        <v>0</v>
      </c>
      <c r="G149">
        <f t="shared" si="6"/>
        <v>25.621361291103995</v>
      </c>
      <c r="H149">
        <f>IF(E149&lt;0,-1,1)</f>
        <v>1</v>
      </c>
      <c r="I149">
        <f>H148+H149</f>
        <v>2</v>
      </c>
      <c r="J149">
        <v>0</v>
      </c>
    </row>
    <row r="150" spans="1:10" x14ac:dyDescent="0.25">
      <c r="A150" s="1">
        <v>44837</v>
      </c>
      <c r="B150">
        <v>280</v>
      </c>
      <c r="C150">
        <v>-40</v>
      </c>
      <c r="D150">
        <v>291.12136129110399</v>
      </c>
      <c r="E150">
        <f t="shared" si="7"/>
        <v>11.121361291103995</v>
      </c>
      <c r="F150">
        <f t="shared" si="8"/>
        <v>0</v>
      </c>
      <c r="G150">
        <f t="shared" si="6"/>
        <v>11.121361291103995</v>
      </c>
      <c r="H150">
        <f>IF(E150&lt;0,-1,1)</f>
        <v>1</v>
      </c>
      <c r="I150">
        <f>H149+H150</f>
        <v>2</v>
      </c>
      <c r="J150">
        <v>0</v>
      </c>
    </row>
    <row r="151" spans="1:10" x14ac:dyDescent="0.25">
      <c r="A151" s="1">
        <v>44838</v>
      </c>
      <c r="B151">
        <v>282.5</v>
      </c>
      <c r="C151">
        <v>-40</v>
      </c>
      <c r="D151">
        <v>291.12136129110399</v>
      </c>
      <c r="E151">
        <f t="shared" si="7"/>
        <v>8.6213612911039945</v>
      </c>
      <c r="F151">
        <f t="shared" si="8"/>
        <v>0</v>
      </c>
      <c r="G151">
        <f t="shared" si="6"/>
        <v>8.6213612911039945</v>
      </c>
      <c r="H151">
        <f>IF(E151&lt;0,-1,1)</f>
        <v>1</v>
      </c>
      <c r="I151">
        <f>H150+H151</f>
        <v>2</v>
      </c>
      <c r="J151">
        <v>0</v>
      </c>
    </row>
    <row r="152" spans="1:10" x14ac:dyDescent="0.25">
      <c r="A152" s="1">
        <v>44839</v>
      </c>
      <c r="B152">
        <v>288</v>
      </c>
      <c r="C152">
        <v>-40</v>
      </c>
      <c r="D152">
        <v>291.12136129110399</v>
      </c>
      <c r="E152">
        <f t="shared" si="7"/>
        <v>3.1213612911039945</v>
      </c>
      <c r="F152">
        <f t="shared" si="8"/>
        <v>0</v>
      </c>
      <c r="G152">
        <f t="shared" si="6"/>
        <v>3.1213612911039945</v>
      </c>
      <c r="H152">
        <f>IF(E152&lt;0,-1,1)</f>
        <v>1</v>
      </c>
      <c r="I152">
        <f>H151+H152</f>
        <v>2</v>
      </c>
      <c r="J152">
        <v>0</v>
      </c>
    </row>
    <row r="153" spans="1:10" x14ac:dyDescent="0.25">
      <c r="A153" s="1">
        <v>44840</v>
      </c>
      <c r="B153">
        <v>288.5</v>
      </c>
      <c r="C153">
        <v>-40</v>
      </c>
      <c r="D153">
        <v>291.12136129110399</v>
      </c>
      <c r="E153">
        <f t="shared" si="7"/>
        <v>2.6213612911039945</v>
      </c>
      <c r="F153">
        <f t="shared" si="8"/>
        <v>0</v>
      </c>
      <c r="G153">
        <f t="shared" si="6"/>
        <v>2.6213612911039945</v>
      </c>
      <c r="H153">
        <f>IF(E153&lt;0,-1,1)</f>
        <v>1</v>
      </c>
      <c r="I153">
        <f>H152+H153</f>
        <v>2</v>
      </c>
      <c r="J153">
        <v>0</v>
      </c>
    </row>
    <row r="154" spans="1:10" x14ac:dyDescent="0.25">
      <c r="A154" s="1">
        <v>44841</v>
      </c>
      <c r="B154">
        <v>286</v>
      </c>
      <c r="C154">
        <v>-40</v>
      </c>
      <c r="D154">
        <v>291.12136129110399</v>
      </c>
      <c r="E154">
        <f t="shared" si="7"/>
        <v>5.1213612911039945</v>
      </c>
      <c r="F154">
        <f t="shared" si="8"/>
        <v>0</v>
      </c>
      <c r="G154">
        <f t="shared" si="6"/>
        <v>5.1213612911039945</v>
      </c>
      <c r="H154">
        <f>IF(E154&lt;0,-1,1)</f>
        <v>1</v>
      </c>
      <c r="I154">
        <f>H153+H154</f>
        <v>2</v>
      </c>
      <c r="J154">
        <v>0</v>
      </c>
    </row>
    <row r="155" spans="1:10" x14ac:dyDescent="0.25">
      <c r="A155" s="1">
        <v>44845</v>
      </c>
      <c r="B155">
        <v>289.5</v>
      </c>
      <c r="C155">
        <v>-40</v>
      </c>
      <c r="D155">
        <v>291.12136129110399</v>
      </c>
      <c r="E155">
        <f t="shared" si="7"/>
        <v>1.6213612911039945</v>
      </c>
      <c r="F155">
        <f t="shared" si="8"/>
        <v>0</v>
      </c>
      <c r="G155">
        <f t="shared" si="6"/>
        <v>1.6213612911039945</v>
      </c>
      <c r="H155">
        <f>IF(E155&lt;0,-1,1)</f>
        <v>1</v>
      </c>
      <c r="I155">
        <f>H154+H155</f>
        <v>2</v>
      </c>
      <c r="J155">
        <v>0</v>
      </c>
    </row>
    <row r="156" spans="1:10" x14ac:dyDescent="0.25">
      <c r="A156" s="1">
        <v>44846</v>
      </c>
      <c r="B156">
        <v>311</v>
      </c>
      <c r="C156">
        <v>-40</v>
      </c>
      <c r="D156">
        <v>291.12136129110399</v>
      </c>
      <c r="E156">
        <f t="shared" si="7"/>
        <v>-19.878638708896005</v>
      </c>
      <c r="F156">
        <f t="shared" si="8"/>
        <v>0</v>
      </c>
      <c r="G156">
        <f t="shared" si="6"/>
        <v>-19.878638708896005</v>
      </c>
      <c r="H156">
        <f>IF(E156&lt;0,-1,1)</f>
        <v>-1</v>
      </c>
      <c r="I156">
        <f>H155+H156</f>
        <v>0</v>
      </c>
      <c r="J156">
        <v>0</v>
      </c>
    </row>
    <row r="157" spans="1:10" x14ac:dyDescent="0.25">
      <c r="A157" s="1">
        <v>44847</v>
      </c>
      <c r="B157">
        <v>298</v>
      </c>
      <c r="C157">
        <v>-40</v>
      </c>
      <c r="D157">
        <v>291.12136129110399</v>
      </c>
      <c r="E157">
        <f t="shared" si="7"/>
        <v>-6.8786387088960055</v>
      </c>
      <c r="F157">
        <f t="shared" si="8"/>
        <v>0</v>
      </c>
      <c r="G157">
        <f t="shared" si="6"/>
        <v>-6.8786387088960055</v>
      </c>
      <c r="H157">
        <f>IF(E157&lt;0,-1,1)</f>
        <v>-1</v>
      </c>
      <c r="I157">
        <f>H156+H157</f>
        <v>-2</v>
      </c>
      <c r="J157">
        <v>0</v>
      </c>
    </row>
    <row r="158" spans="1:10" x14ac:dyDescent="0.25">
      <c r="A158" s="1">
        <v>44848</v>
      </c>
      <c r="B158">
        <v>306.5</v>
      </c>
      <c r="C158">
        <v>-40</v>
      </c>
      <c r="D158">
        <v>291.12136129110399</v>
      </c>
      <c r="E158">
        <f t="shared" si="7"/>
        <v>-15.378638708896005</v>
      </c>
      <c r="F158">
        <f t="shared" si="8"/>
        <v>0</v>
      </c>
      <c r="G158">
        <f t="shared" si="6"/>
        <v>-15.378638708896005</v>
      </c>
      <c r="H158">
        <f>IF(E158&lt;0,-1,1)</f>
        <v>-1</v>
      </c>
      <c r="I158">
        <f>H157+H158</f>
        <v>-2</v>
      </c>
      <c r="J158">
        <v>0</v>
      </c>
    </row>
    <row r="159" spans="1:10" x14ac:dyDescent="0.25">
      <c r="A159" s="1">
        <v>44851</v>
      </c>
      <c r="B159">
        <v>304.5</v>
      </c>
      <c r="C159">
        <v>-40</v>
      </c>
      <c r="D159">
        <v>291.12136129110399</v>
      </c>
      <c r="E159">
        <f t="shared" si="7"/>
        <v>-13.378638708896005</v>
      </c>
      <c r="F159">
        <f t="shared" si="8"/>
        <v>0</v>
      </c>
      <c r="G159">
        <f t="shared" si="6"/>
        <v>-13.378638708896005</v>
      </c>
      <c r="H159">
        <f>IF(E159&lt;0,-1,1)</f>
        <v>-1</v>
      </c>
      <c r="I159">
        <f>H158+H159</f>
        <v>-2</v>
      </c>
      <c r="J159">
        <v>0</v>
      </c>
    </row>
    <row r="160" spans="1:10" x14ac:dyDescent="0.25">
      <c r="A160" s="1">
        <v>44852</v>
      </c>
      <c r="B160">
        <v>307.5</v>
      </c>
      <c r="C160">
        <v>-40</v>
      </c>
      <c r="D160">
        <v>291.12136129110399</v>
      </c>
      <c r="E160">
        <f t="shared" si="7"/>
        <v>-16.378638708896005</v>
      </c>
      <c r="F160">
        <f t="shared" si="8"/>
        <v>0</v>
      </c>
      <c r="G160">
        <f t="shared" si="6"/>
        <v>-16.378638708896005</v>
      </c>
      <c r="H160">
        <f>IF(E160&lt;0,-1,1)</f>
        <v>-1</v>
      </c>
      <c r="I160">
        <f>H159+H160</f>
        <v>-2</v>
      </c>
      <c r="J160">
        <v>0</v>
      </c>
    </row>
    <row r="161" spans="1:10" x14ac:dyDescent="0.25">
      <c r="A161" s="1">
        <v>44853</v>
      </c>
      <c r="B161">
        <v>297</v>
      </c>
      <c r="C161">
        <v>-40</v>
      </c>
      <c r="D161">
        <v>291.12136129110399</v>
      </c>
      <c r="E161">
        <f t="shared" si="7"/>
        <v>-5.8786387088960055</v>
      </c>
      <c r="F161">
        <f t="shared" si="8"/>
        <v>0</v>
      </c>
      <c r="G161">
        <f t="shared" si="6"/>
        <v>-5.8786387088960055</v>
      </c>
      <c r="H161">
        <f>IF(E161&lt;0,-1,1)</f>
        <v>-1</v>
      </c>
      <c r="I161">
        <f>H160+H161</f>
        <v>-2</v>
      </c>
      <c r="J161">
        <v>0</v>
      </c>
    </row>
    <row r="162" spans="1:10" x14ac:dyDescent="0.25">
      <c r="A162" s="1">
        <v>44854</v>
      </c>
      <c r="B162">
        <v>293.5</v>
      </c>
      <c r="C162">
        <v>-40</v>
      </c>
      <c r="D162">
        <v>291.12136129110399</v>
      </c>
      <c r="E162">
        <f t="shared" si="7"/>
        <v>-2.3786387088960055</v>
      </c>
      <c r="F162">
        <f t="shared" si="8"/>
        <v>0</v>
      </c>
      <c r="G162">
        <f t="shared" si="6"/>
        <v>-2.3786387088960055</v>
      </c>
      <c r="H162">
        <f>IF(E162&lt;0,-1,1)</f>
        <v>-1</v>
      </c>
      <c r="I162">
        <f>H161+H162</f>
        <v>-2</v>
      </c>
      <c r="J162">
        <v>0</v>
      </c>
    </row>
    <row r="163" spans="1:10" x14ac:dyDescent="0.25">
      <c r="A163" s="1">
        <v>44855</v>
      </c>
      <c r="B163">
        <v>290</v>
      </c>
      <c r="C163">
        <v>-40</v>
      </c>
      <c r="D163">
        <v>291.12136129110399</v>
      </c>
      <c r="E163">
        <f t="shared" si="7"/>
        <v>1.1213612911039945</v>
      </c>
      <c r="F163">
        <f t="shared" si="8"/>
        <v>0</v>
      </c>
      <c r="G163">
        <f t="shared" si="6"/>
        <v>1.1213612911039945</v>
      </c>
      <c r="H163">
        <f>IF(E163&lt;0,-1,1)</f>
        <v>1</v>
      </c>
      <c r="I163">
        <f>H162+H163</f>
        <v>0</v>
      </c>
      <c r="J163">
        <v>0</v>
      </c>
    </row>
    <row r="164" spans="1:10" x14ac:dyDescent="0.25">
      <c r="A164" s="1">
        <v>44858</v>
      </c>
      <c r="B164">
        <v>295</v>
      </c>
      <c r="C164">
        <v>-40</v>
      </c>
      <c r="D164">
        <v>291.12136129110399</v>
      </c>
      <c r="E164">
        <f t="shared" si="7"/>
        <v>-3.8786387088960055</v>
      </c>
      <c r="F164">
        <f t="shared" si="8"/>
        <v>0</v>
      </c>
      <c r="G164">
        <f t="shared" si="6"/>
        <v>-3.8786387088960055</v>
      </c>
      <c r="H164">
        <f>IF(E164&lt;0,-1,1)</f>
        <v>-1</v>
      </c>
      <c r="I164">
        <f>H163+H164</f>
        <v>0</v>
      </c>
      <c r="J164">
        <v>0</v>
      </c>
    </row>
    <row r="165" spans="1:10" x14ac:dyDescent="0.25">
      <c r="A165" s="1">
        <v>44859</v>
      </c>
      <c r="B165">
        <v>285</v>
      </c>
      <c r="C165">
        <v>-40</v>
      </c>
      <c r="D165">
        <v>291.12136129110399</v>
      </c>
      <c r="E165">
        <f t="shared" si="7"/>
        <v>6.1213612911039945</v>
      </c>
      <c r="F165">
        <f t="shared" si="8"/>
        <v>0</v>
      </c>
      <c r="G165">
        <f t="shared" si="6"/>
        <v>6.1213612911039945</v>
      </c>
      <c r="H165">
        <f>IF(E165&lt;0,-1,1)</f>
        <v>1</v>
      </c>
      <c r="I165">
        <f>H164+H165</f>
        <v>0</v>
      </c>
      <c r="J165">
        <v>0</v>
      </c>
    </row>
    <row r="166" spans="1:10" x14ac:dyDescent="0.25">
      <c r="A166" s="1">
        <v>44860</v>
      </c>
      <c r="B166">
        <v>285.5</v>
      </c>
      <c r="C166">
        <v>-40</v>
      </c>
      <c r="D166">
        <v>291.12136129110399</v>
      </c>
      <c r="E166">
        <f t="shared" si="7"/>
        <v>5.6213612911039945</v>
      </c>
      <c r="F166">
        <f t="shared" si="8"/>
        <v>0</v>
      </c>
      <c r="G166">
        <f t="shared" si="6"/>
        <v>5.6213612911039945</v>
      </c>
      <c r="H166">
        <f>IF(E166&lt;0,-1,1)</f>
        <v>1</v>
      </c>
      <c r="I166">
        <f>H165+H166</f>
        <v>2</v>
      </c>
      <c r="J166">
        <v>0</v>
      </c>
    </row>
    <row r="167" spans="1:10" x14ac:dyDescent="0.25">
      <c r="A167" s="1">
        <v>44861</v>
      </c>
      <c r="B167">
        <v>299</v>
      </c>
      <c r="C167">
        <v>-40</v>
      </c>
      <c r="D167">
        <v>291.12136129110399</v>
      </c>
      <c r="E167">
        <f t="shared" si="7"/>
        <v>-7.8786387088960055</v>
      </c>
      <c r="F167">
        <f t="shared" si="8"/>
        <v>0</v>
      </c>
      <c r="G167">
        <f t="shared" si="6"/>
        <v>-7.8786387088960055</v>
      </c>
      <c r="H167">
        <f>IF(E167&lt;0,-1,1)</f>
        <v>-1</v>
      </c>
      <c r="I167">
        <f>H166+H167</f>
        <v>0</v>
      </c>
      <c r="J167">
        <v>0</v>
      </c>
    </row>
    <row r="168" spans="1:10" x14ac:dyDescent="0.25">
      <c r="A168" s="1">
        <v>44862</v>
      </c>
      <c r="B168">
        <v>292</v>
      </c>
      <c r="C168">
        <v>-40</v>
      </c>
      <c r="D168">
        <v>291.12136129110399</v>
      </c>
      <c r="E168">
        <f t="shared" si="7"/>
        <v>-0.87863870889600548</v>
      </c>
      <c r="F168">
        <f t="shared" si="8"/>
        <v>0</v>
      </c>
      <c r="G168">
        <f t="shared" si="6"/>
        <v>-0.87863870889600548</v>
      </c>
      <c r="H168">
        <f>IF(E168&lt;0,-1,1)</f>
        <v>-1</v>
      </c>
      <c r="I168">
        <f>H167+H168</f>
        <v>-2</v>
      </c>
      <c r="J168">
        <v>0</v>
      </c>
    </row>
    <row r="169" spans="1:10" x14ac:dyDescent="0.25">
      <c r="A169" s="1">
        <v>44865</v>
      </c>
      <c r="B169">
        <v>295.5</v>
      </c>
      <c r="C169">
        <v>-40</v>
      </c>
      <c r="D169">
        <v>291.12136129110399</v>
      </c>
      <c r="E169">
        <f t="shared" si="7"/>
        <v>-4.3786387088960055</v>
      </c>
      <c r="F169">
        <f t="shared" si="8"/>
        <v>0</v>
      </c>
      <c r="G169">
        <f t="shared" si="6"/>
        <v>-4.3786387088960055</v>
      </c>
      <c r="H169">
        <f>IF(E169&lt;0,-1,1)</f>
        <v>-1</v>
      </c>
      <c r="I169">
        <f>H168+H169</f>
        <v>-2</v>
      </c>
      <c r="J169">
        <v>0</v>
      </c>
    </row>
    <row r="170" spans="1:10" x14ac:dyDescent="0.25">
      <c r="A170" s="1">
        <v>44866</v>
      </c>
      <c r="B170">
        <v>297</v>
      </c>
      <c r="C170">
        <v>-40</v>
      </c>
      <c r="D170">
        <v>291.12136129110399</v>
      </c>
      <c r="E170">
        <f t="shared" si="7"/>
        <v>-5.8786387088960055</v>
      </c>
      <c r="F170">
        <f t="shared" si="8"/>
        <v>0</v>
      </c>
      <c r="G170">
        <f t="shared" si="6"/>
        <v>-5.8786387088960055</v>
      </c>
      <c r="H170">
        <f>IF(E170&lt;0,-1,1)</f>
        <v>-1</v>
      </c>
      <c r="I170">
        <f>H169+H170</f>
        <v>-2</v>
      </c>
      <c r="J170">
        <v>0</v>
      </c>
    </row>
    <row r="171" spans="1:10" x14ac:dyDescent="0.25">
      <c r="A171" s="1">
        <v>44867</v>
      </c>
      <c r="B171">
        <v>301.5</v>
      </c>
      <c r="C171">
        <v>-40</v>
      </c>
      <c r="D171">
        <v>291.12136129110399</v>
      </c>
      <c r="E171">
        <f t="shared" si="7"/>
        <v>-10.378638708896005</v>
      </c>
      <c r="F171">
        <f t="shared" si="8"/>
        <v>0</v>
      </c>
      <c r="G171">
        <f t="shared" si="6"/>
        <v>-10.378638708896005</v>
      </c>
      <c r="H171">
        <f>IF(E171&lt;0,-1,1)</f>
        <v>-1</v>
      </c>
      <c r="I171">
        <f>H170+H171</f>
        <v>-2</v>
      </c>
      <c r="J171">
        <v>0</v>
      </c>
    </row>
    <row r="172" spans="1:10" x14ac:dyDescent="0.25">
      <c r="A172" s="1">
        <v>44868</v>
      </c>
      <c r="B172">
        <v>294</v>
      </c>
      <c r="C172">
        <v>-40</v>
      </c>
      <c r="D172">
        <v>291.12136129110399</v>
      </c>
      <c r="E172">
        <f t="shared" si="7"/>
        <v>-2.8786387088960055</v>
      </c>
      <c r="F172">
        <f t="shared" si="8"/>
        <v>0</v>
      </c>
      <c r="G172">
        <f t="shared" si="6"/>
        <v>-2.8786387088960055</v>
      </c>
      <c r="H172">
        <f>IF(E172&lt;0,-1,1)</f>
        <v>-1</v>
      </c>
      <c r="I172">
        <f>H171+H172</f>
        <v>-2</v>
      </c>
      <c r="J172">
        <v>0</v>
      </c>
    </row>
    <row r="173" spans="1:10" x14ac:dyDescent="0.25">
      <c r="A173" s="1">
        <v>44869</v>
      </c>
      <c r="B173">
        <v>285.5</v>
      </c>
      <c r="C173">
        <v>-40</v>
      </c>
      <c r="D173">
        <v>291.12136129110399</v>
      </c>
      <c r="E173">
        <f t="shared" si="7"/>
        <v>5.6213612911039945</v>
      </c>
      <c r="F173">
        <f t="shared" si="8"/>
        <v>0</v>
      </c>
      <c r="G173">
        <f t="shared" si="6"/>
        <v>5.6213612911039945</v>
      </c>
      <c r="H173">
        <f>IF(E173&lt;0,-1,1)</f>
        <v>1</v>
      </c>
      <c r="I173">
        <f>H172+H173</f>
        <v>0</v>
      </c>
      <c r="J173">
        <v>0</v>
      </c>
    </row>
    <row r="174" spans="1:10" x14ac:dyDescent="0.25">
      <c r="A174" s="1">
        <v>44872</v>
      </c>
      <c r="B174">
        <v>296</v>
      </c>
      <c r="C174">
        <v>-40</v>
      </c>
      <c r="D174">
        <v>291.12136129110399</v>
      </c>
      <c r="E174">
        <f t="shared" si="7"/>
        <v>-4.8786387088960055</v>
      </c>
      <c r="F174">
        <f t="shared" si="8"/>
        <v>0</v>
      </c>
      <c r="G174">
        <f t="shared" si="6"/>
        <v>-4.8786387088960055</v>
      </c>
      <c r="H174">
        <f>IF(E174&lt;0,-1,1)</f>
        <v>-1</v>
      </c>
      <c r="I174">
        <f>H173+H174</f>
        <v>0</v>
      </c>
      <c r="J174">
        <v>0</v>
      </c>
    </row>
    <row r="175" spans="1:10" x14ac:dyDescent="0.25">
      <c r="A175" s="1">
        <v>44873</v>
      </c>
      <c r="B175">
        <v>305</v>
      </c>
      <c r="C175">
        <v>-40</v>
      </c>
      <c r="D175">
        <v>291.12136129110399</v>
      </c>
      <c r="E175">
        <f t="shared" si="7"/>
        <v>-13.878638708896005</v>
      </c>
      <c r="F175">
        <f t="shared" si="8"/>
        <v>0</v>
      </c>
      <c r="G175">
        <f t="shared" si="6"/>
        <v>-13.878638708896005</v>
      </c>
      <c r="H175">
        <f>IF(E175&lt;0,-1,1)</f>
        <v>-1</v>
      </c>
      <c r="I175">
        <f>H174+H175</f>
        <v>-2</v>
      </c>
      <c r="J175">
        <v>0</v>
      </c>
    </row>
    <row r="176" spans="1:10" x14ac:dyDescent="0.25">
      <c r="A176" s="1">
        <v>44874</v>
      </c>
      <c r="B176">
        <v>316.5</v>
      </c>
      <c r="C176">
        <v>-40</v>
      </c>
      <c r="D176">
        <v>291.12136129110399</v>
      </c>
      <c r="E176">
        <f t="shared" si="7"/>
        <v>-25.378638708896005</v>
      </c>
      <c r="F176">
        <f t="shared" si="8"/>
        <v>0</v>
      </c>
      <c r="G176">
        <f t="shared" si="6"/>
        <v>-25.378638708896005</v>
      </c>
      <c r="H176">
        <f>IF(E176&lt;0,-1,1)</f>
        <v>-1</v>
      </c>
      <c r="I176">
        <f>H175+H176</f>
        <v>-2</v>
      </c>
      <c r="J176">
        <v>0</v>
      </c>
    </row>
    <row r="177" spans="1:10" x14ac:dyDescent="0.25">
      <c r="A177" s="1">
        <v>44875</v>
      </c>
      <c r="B177">
        <v>312.5</v>
      </c>
      <c r="C177">
        <v>-40</v>
      </c>
      <c r="D177">
        <v>291.12136129110399</v>
      </c>
      <c r="E177">
        <f t="shared" si="7"/>
        <v>-21.378638708896005</v>
      </c>
      <c r="F177">
        <f t="shared" si="8"/>
        <v>0</v>
      </c>
      <c r="G177">
        <f t="shared" si="6"/>
        <v>-21.378638708896005</v>
      </c>
      <c r="H177">
        <f>IF(E177&lt;0,-1,1)</f>
        <v>-1</v>
      </c>
      <c r="I177">
        <f>H176+H177</f>
        <v>-2</v>
      </c>
      <c r="J177">
        <v>0</v>
      </c>
    </row>
    <row r="178" spans="1:10" x14ac:dyDescent="0.25">
      <c r="A178" s="1">
        <v>44876</v>
      </c>
      <c r="B178">
        <v>325.5</v>
      </c>
      <c r="C178">
        <v>-40</v>
      </c>
      <c r="D178">
        <v>291.12136129110399</v>
      </c>
      <c r="E178">
        <f t="shared" si="7"/>
        <v>-34.378638708896005</v>
      </c>
      <c r="F178">
        <f t="shared" si="8"/>
        <v>0</v>
      </c>
      <c r="G178">
        <f t="shared" si="6"/>
        <v>-34.378638708896005</v>
      </c>
      <c r="H178">
        <f>IF(E178&lt;0,-1,1)</f>
        <v>-1</v>
      </c>
      <c r="I178">
        <f>H177+H178</f>
        <v>-2</v>
      </c>
      <c r="J178">
        <v>0</v>
      </c>
    </row>
    <row r="179" spans="1:10" x14ac:dyDescent="0.25">
      <c r="A179" s="1">
        <v>44879</v>
      </c>
      <c r="B179">
        <v>321</v>
      </c>
      <c r="C179">
        <v>-40</v>
      </c>
      <c r="D179">
        <v>291.12136129110399</v>
      </c>
      <c r="E179">
        <f t="shared" si="7"/>
        <v>-29.878638708896005</v>
      </c>
      <c r="F179">
        <f t="shared" si="8"/>
        <v>0</v>
      </c>
      <c r="G179">
        <f t="shared" si="6"/>
        <v>-29.878638708896005</v>
      </c>
      <c r="H179">
        <f>IF(E179&lt;0,-1,1)</f>
        <v>-1</v>
      </c>
      <c r="I179">
        <f>H178+H179</f>
        <v>-2</v>
      </c>
      <c r="J179">
        <v>0</v>
      </c>
    </row>
    <row r="180" spans="1:10" x14ac:dyDescent="0.25">
      <c r="A180" s="1">
        <v>44880</v>
      </c>
      <c r="B180">
        <v>325.5</v>
      </c>
      <c r="C180">
        <v>-40</v>
      </c>
      <c r="D180">
        <v>291.12136129110399</v>
      </c>
      <c r="E180">
        <f t="shared" si="7"/>
        <v>-34.378638708896005</v>
      </c>
      <c r="F180">
        <f t="shared" si="8"/>
        <v>0</v>
      </c>
      <c r="G180">
        <f t="shared" si="6"/>
        <v>-34.378638708896005</v>
      </c>
      <c r="H180">
        <f>IF(E180&lt;0,-1,1)</f>
        <v>-1</v>
      </c>
      <c r="I180">
        <f>H179+H180</f>
        <v>-2</v>
      </c>
      <c r="J180">
        <v>0</v>
      </c>
    </row>
    <row r="181" spans="1:10" x14ac:dyDescent="0.25">
      <c r="A181" s="1">
        <v>44881</v>
      </c>
      <c r="B181">
        <v>338.5</v>
      </c>
      <c r="C181">
        <v>-10</v>
      </c>
      <c r="D181">
        <v>359.84061146439097</v>
      </c>
      <c r="E181">
        <f t="shared" si="7"/>
        <v>21.340611464390975</v>
      </c>
      <c r="F181">
        <f t="shared" si="8"/>
        <v>68.71925017328698</v>
      </c>
      <c r="G181">
        <f t="shared" si="6"/>
        <v>21.340611464390975</v>
      </c>
      <c r="H181">
        <f>IF(E181&lt;0,-1,1)</f>
        <v>1</v>
      </c>
      <c r="I181">
        <f>H180+H181</f>
        <v>0</v>
      </c>
      <c r="J181">
        <v>0</v>
      </c>
    </row>
    <row r="182" spans="1:10" x14ac:dyDescent="0.25">
      <c r="A182" s="1">
        <v>44882</v>
      </c>
      <c r="B182" s="7">
        <v>336.5</v>
      </c>
      <c r="C182" s="7">
        <v>-10</v>
      </c>
      <c r="D182" s="7">
        <v>359.84061146439097</v>
      </c>
      <c r="E182">
        <f t="shared" si="7"/>
        <v>23.340611464390975</v>
      </c>
      <c r="F182">
        <f t="shared" si="8"/>
        <v>0</v>
      </c>
      <c r="G182">
        <f t="shared" si="6"/>
        <v>23.340611464390975</v>
      </c>
      <c r="H182">
        <f>IF(E182&lt;0,-1,1)</f>
        <v>1</v>
      </c>
      <c r="I182">
        <f>H181+H182</f>
        <v>2</v>
      </c>
      <c r="J182">
        <v>1</v>
      </c>
    </row>
    <row r="183" spans="1:10" x14ac:dyDescent="0.25">
      <c r="A183" s="1">
        <v>44883</v>
      </c>
      <c r="B183">
        <v>339</v>
      </c>
      <c r="C183">
        <v>-10</v>
      </c>
      <c r="D183">
        <v>359.84061146439097</v>
      </c>
      <c r="E183">
        <f t="shared" si="7"/>
        <v>20.840611464390975</v>
      </c>
      <c r="F183">
        <f t="shared" si="8"/>
        <v>0</v>
      </c>
      <c r="G183">
        <f t="shared" si="6"/>
        <v>20.840611464390975</v>
      </c>
      <c r="H183">
        <f>IF(E183&lt;0,-1,1)</f>
        <v>1</v>
      </c>
      <c r="I183">
        <f>H182+H183</f>
        <v>2</v>
      </c>
      <c r="J183">
        <v>1</v>
      </c>
    </row>
    <row r="184" spans="1:10" x14ac:dyDescent="0.25">
      <c r="A184" s="1">
        <v>44886</v>
      </c>
      <c r="B184">
        <v>329.5</v>
      </c>
      <c r="C184">
        <v>-10</v>
      </c>
      <c r="D184">
        <v>359.84061146439097</v>
      </c>
      <c r="E184">
        <f t="shared" si="7"/>
        <v>30.340611464390975</v>
      </c>
      <c r="F184">
        <f t="shared" si="8"/>
        <v>0</v>
      </c>
      <c r="G184">
        <f t="shared" si="6"/>
        <v>30.340611464390975</v>
      </c>
      <c r="H184">
        <f>IF(E184&lt;0,-1,1)</f>
        <v>1</v>
      </c>
      <c r="I184">
        <f>H183+H184</f>
        <v>2</v>
      </c>
      <c r="J184">
        <v>1</v>
      </c>
    </row>
    <row r="185" spans="1:10" x14ac:dyDescent="0.25">
      <c r="A185" s="1">
        <v>44887</v>
      </c>
      <c r="B185">
        <v>333.5</v>
      </c>
      <c r="C185">
        <v>-10</v>
      </c>
      <c r="D185">
        <v>359.84061146439097</v>
      </c>
      <c r="E185">
        <f t="shared" si="7"/>
        <v>26.340611464390975</v>
      </c>
      <c r="F185">
        <f t="shared" si="8"/>
        <v>0</v>
      </c>
      <c r="G185">
        <f t="shared" si="6"/>
        <v>26.340611464390975</v>
      </c>
      <c r="H185">
        <f>IF(E185&lt;0,-1,1)</f>
        <v>1</v>
      </c>
      <c r="I185">
        <f>H184+H185</f>
        <v>2</v>
      </c>
      <c r="J185">
        <v>1</v>
      </c>
    </row>
    <row r="186" spans="1:10" x14ac:dyDescent="0.25">
      <c r="A186" s="1">
        <v>44888</v>
      </c>
      <c r="B186">
        <v>328.5</v>
      </c>
      <c r="C186">
        <v>-10</v>
      </c>
      <c r="D186">
        <v>359.84061146439097</v>
      </c>
      <c r="E186">
        <f t="shared" si="7"/>
        <v>31.340611464390975</v>
      </c>
      <c r="F186">
        <f t="shared" si="8"/>
        <v>0</v>
      </c>
      <c r="G186">
        <f t="shared" si="6"/>
        <v>31.340611464390975</v>
      </c>
      <c r="H186">
        <f>IF(E186&lt;0,-1,1)</f>
        <v>1</v>
      </c>
      <c r="I186">
        <f>H185+H186</f>
        <v>2</v>
      </c>
      <c r="J186">
        <v>1</v>
      </c>
    </row>
    <row r="187" spans="1:10" x14ac:dyDescent="0.25">
      <c r="A187" s="1">
        <v>44889</v>
      </c>
      <c r="B187">
        <v>337</v>
      </c>
      <c r="C187">
        <v>-10</v>
      </c>
      <c r="D187">
        <v>359.84061146439097</v>
      </c>
      <c r="E187">
        <f t="shared" si="7"/>
        <v>22.840611464390975</v>
      </c>
      <c r="F187">
        <f t="shared" si="8"/>
        <v>0</v>
      </c>
      <c r="G187">
        <f t="shared" si="6"/>
        <v>22.840611464390975</v>
      </c>
      <c r="H187">
        <f>IF(E187&lt;0,-1,1)</f>
        <v>1</v>
      </c>
      <c r="I187">
        <f>H186+H187</f>
        <v>2</v>
      </c>
      <c r="J187">
        <v>1</v>
      </c>
    </row>
    <row r="188" spans="1:10" x14ac:dyDescent="0.25">
      <c r="A188" s="1">
        <v>44890</v>
      </c>
      <c r="B188">
        <v>330.5</v>
      </c>
      <c r="C188">
        <v>-10</v>
      </c>
      <c r="D188">
        <v>359.84061146439097</v>
      </c>
      <c r="E188">
        <f t="shared" si="7"/>
        <v>29.340611464390975</v>
      </c>
      <c r="F188">
        <f t="shared" si="8"/>
        <v>0</v>
      </c>
      <c r="G188">
        <f t="shared" si="6"/>
        <v>29.340611464390975</v>
      </c>
      <c r="H188">
        <f>IF(E188&lt;0,-1,1)</f>
        <v>1</v>
      </c>
      <c r="I188">
        <f>H187+H188</f>
        <v>2</v>
      </c>
      <c r="J188">
        <v>1</v>
      </c>
    </row>
    <row r="189" spans="1:10" x14ac:dyDescent="0.25">
      <c r="A189" s="1">
        <v>44893</v>
      </c>
      <c r="B189">
        <v>329.5</v>
      </c>
      <c r="C189">
        <v>-10</v>
      </c>
      <c r="D189">
        <v>359.84061146439097</v>
      </c>
      <c r="E189">
        <f t="shared" si="7"/>
        <v>30.340611464390975</v>
      </c>
      <c r="F189">
        <f t="shared" si="8"/>
        <v>0</v>
      </c>
      <c r="G189">
        <f t="shared" si="6"/>
        <v>30.340611464390975</v>
      </c>
      <c r="H189">
        <f>IF(E189&lt;0,-1,1)</f>
        <v>1</v>
      </c>
      <c r="I189">
        <f>H188+H189</f>
        <v>2</v>
      </c>
      <c r="J189">
        <v>1</v>
      </c>
    </row>
    <row r="190" spans="1:10" x14ac:dyDescent="0.25">
      <c r="A190" s="1">
        <v>44894</v>
      </c>
      <c r="B190">
        <v>326.5</v>
      </c>
      <c r="C190">
        <v>20</v>
      </c>
      <c r="D190">
        <v>428.55986163767699</v>
      </c>
      <c r="E190">
        <f t="shared" si="7"/>
        <v>102.05986163767699</v>
      </c>
      <c r="F190">
        <f t="shared" si="8"/>
        <v>68.719250173286014</v>
      </c>
      <c r="G190">
        <f t="shared" si="6"/>
        <v>102.05986163767699</v>
      </c>
      <c r="H190">
        <f>IF(E190&lt;0,-1,1)</f>
        <v>1</v>
      </c>
      <c r="I190">
        <f>H189+H190</f>
        <v>2</v>
      </c>
      <c r="J190">
        <v>1</v>
      </c>
    </row>
    <row r="191" spans="1:10" x14ac:dyDescent="0.25">
      <c r="A191" s="1">
        <v>44895</v>
      </c>
      <c r="B191">
        <v>326.5</v>
      </c>
      <c r="C191">
        <v>20</v>
      </c>
      <c r="D191">
        <v>428.55986163767699</v>
      </c>
      <c r="E191">
        <f t="shared" si="7"/>
        <v>102.05986163767699</v>
      </c>
      <c r="F191">
        <f t="shared" si="8"/>
        <v>0</v>
      </c>
      <c r="G191">
        <f t="shared" si="6"/>
        <v>102.05986163767699</v>
      </c>
      <c r="H191">
        <f>IF(E191&lt;0,-1,1)</f>
        <v>1</v>
      </c>
      <c r="I191">
        <f>H190+H191</f>
        <v>2</v>
      </c>
      <c r="J191">
        <v>1</v>
      </c>
    </row>
    <row r="192" spans="1:10" x14ac:dyDescent="0.25">
      <c r="A192" s="1">
        <v>44896</v>
      </c>
      <c r="B192">
        <v>337</v>
      </c>
      <c r="C192">
        <v>20</v>
      </c>
      <c r="D192">
        <v>428.55986163767699</v>
      </c>
      <c r="E192">
        <f t="shared" si="7"/>
        <v>91.559861637676988</v>
      </c>
      <c r="F192">
        <f t="shared" si="8"/>
        <v>0</v>
      </c>
      <c r="G192">
        <f t="shared" si="6"/>
        <v>91.559861637676988</v>
      </c>
      <c r="H192">
        <f>IF(E192&lt;0,-1,1)</f>
        <v>1</v>
      </c>
      <c r="I192">
        <f>H191+H192</f>
        <v>2</v>
      </c>
      <c r="J192">
        <v>1</v>
      </c>
    </row>
    <row r="193" spans="1:10" x14ac:dyDescent="0.25">
      <c r="A193" s="1">
        <v>44897</v>
      </c>
      <c r="B193">
        <v>335</v>
      </c>
      <c r="C193">
        <v>20</v>
      </c>
      <c r="D193">
        <v>428.55986163767699</v>
      </c>
      <c r="E193">
        <f t="shared" si="7"/>
        <v>93.559861637676988</v>
      </c>
      <c r="F193">
        <f t="shared" si="8"/>
        <v>0</v>
      </c>
      <c r="G193">
        <f t="shared" si="6"/>
        <v>93.559861637676988</v>
      </c>
      <c r="H193">
        <f>IF(E193&lt;0,-1,1)</f>
        <v>1</v>
      </c>
      <c r="I193">
        <f>H192+H193</f>
        <v>2</v>
      </c>
      <c r="J193">
        <v>1</v>
      </c>
    </row>
    <row r="194" spans="1:10" x14ac:dyDescent="0.25">
      <c r="A194" s="1">
        <v>44900</v>
      </c>
      <c r="B194">
        <v>335</v>
      </c>
      <c r="C194">
        <v>20</v>
      </c>
      <c r="D194">
        <v>428.55986163767699</v>
      </c>
      <c r="E194">
        <f t="shared" si="7"/>
        <v>93.559861637676988</v>
      </c>
      <c r="F194">
        <f t="shared" si="8"/>
        <v>0</v>
      </c>
      <c r="G194">
        <f t="shared" si="6"/>
        <v>93.559861637676988</v>
      </c>
      <c r="H194">
        <f>IF(E194&lt;0,-1,1)</f>
        <v>1</v>
      </c>
      <c r="I194">
        <f>H193+H194</f>
        <v>2</v>
      </c>
      <c r="J194">
        <v>1</v>
      </c>
    </row>
    <row r="195" spans="1:10" x14ac:dyDescent="0.25">
      <c r="A195" s="1">
        <v>44901</v>
      </c>
      <c r="B195">
        <v>307</v>
      </c>
      <c r="C195">
        <v>-22</v>
      </c>
      <c r="D195">
        <v>332.35291139507598</v>
      </c>
      <c r="E195">
        <f t="shared" si="7"/>
        <v>25.352911395075978</v>
      </c>
      <c r="F195">
        <f t="shared" si="8"/>
        <v>-96.20695024260101</v>
      </c>
      <c r="G195">
        <f t="shared" ref="G195:G234" si="9">D195-B195</f>
        <v>25.352911395075978</v>
      </c>
      <c r="H195">
        <f>IF(E195&lt;0,-1,1)</f>
        <v>1</v>
      </c>
      <c r="I195">
        <f>H194+H195</f>
        <v>2</v>
      </c>
      <c r="J195">
        <v>1</v>
      </c>
    </row>
    <row r="196" spans="1:10" x14ac:dyDescent="0.25">
      <c r="A196" s="1">
        <v>44902</v>
      </c>
      <c r="B196">
        <v>303</v>
      </c>
      <c r="C196">
        <v>-22</v>
      </c>
      <c r="D196">
        <v>332.35291139507598</v>
      </c>
      <c r="E196">
        <f t="shared" ref="E196:E233" si="10">D196-B196</f>
        <v>29.352911395075978</v>
      </c>
      <c r="F196">
        <f t="shared" ref="F196:F233" si="11">D196-D195</f>
        <v>0</v>
      </c>
      <c r="G196">
        <f t="shared" si="9"/>
        <v>29.352911395075978</v>
      </c>
      <c r="H196">
        <f>IF(E196&lt;0,-1,1)</f>
        <v>1</v>
      </c>
      <c r="I196">
        <f>H195+H196</f>
        <v>2</v>
      </c>
      <c r="J196">
        <v>1</v>
      </c>
    </row>
    <row r="197" spans="1:10" x14ac:dyDescent="0.25">
      <c r="A197" s="1">
        <v>44903</v>
      </c>
      <c r="B197">
        <v>307.5</v>
      </c>
      <c r="C197">
        <v>-22</v>
      </c>
      <c r="D197">
        <v>332.35291139507598</v>
      </c>
      <c r="E197">
        <f t="shared" si="10"/>
        <v>24.852911395075978</v>
      </c>
      <c r="F197">
        <f t="shared" si="11"/>
        <v>0</v>
      </c>
      <c r="G197">
        <f t="shared" si="9"/>
        <v>24.852911395075978</v>
      </c>
      <c r="H197">
        <f>IF(E197&lt;0,-1,1)</f>
        <v>1</v>
      </c>
      <c r="I197">
        <f>H196+H197</f>
        <v>2</v>
      </c>
      <c r="J197">
        <v>1</v>
      </c>
    </row>
    <row r="198" spans="1:10" x14ac:dyDescent="0.25">
      <c r="A198" s="1">
        <v>44904</v>
      </c>
      <c r="B198">
        <v>313</v>
      </c>
      <c r="C198">
        <v>-22</v>
      </c>
      <c r="D198">
        <v>332.35291139507598</v>
      </c>
      <c r="E198">
        <f t="shared" si="10"/>
        <v>19.352911395075978</v>
      </c>
      <c r="F198">
        <f t="shared" si="11"/>
        <v>0</v>
      </c>
      <c r="G198">
        <f t="shared" si="9"/>
        <v>19.352911395075978</v>
      </c>
      <c r="H198">
        <f>IF(E198&lt;0,-1,1)</f>
        <v>1</v>
      </c>
      <c r="I198">
        <f>H197+H198</f>
        <v>2</v>
      </c>
      <c r="J198">
        <v>1</v>
      </c>
    </row>
    <row r="199" spans="1:10" x14ac:dyDescent="0.25">
      <c r="A199" s="1">
        <v>44907</v>
      </c>
      <c r="B199">
        <v>319</v>
      </c>
      <c r="C199">
        <v>-22</v>
      </c>
      <c r="D199">
        <v>332.35291139507598</v>
      </c>
      <c r="E199">
        <f t="shared" si="10"/>
        <v>13.352911395075978</v>
      </c>
      <c r="F199">
        <f t="shared" si="11"/>
        <v>0</v>
      </c>
      <c r="G199">
        <f t="shared" si="9"/>
        <v>13.352911395075978</v>
      </c>
      <c r="H199">
        <f>IF(E199&lt;0,-1,1)</f>
        <v>1</v>
      </c>
      <c r="I199">
        <f>H198+H199</f>
        <v>2</v>
      </c>
      <c r="J199">
        <v>1</v>
      </c>
    </row>
    <row r="200" spans="1:10" x14ac:dyDescent="0.25">
      <c r="A200" s="1">
        <v>44908</v>
      </c>
      <c r="B200">
        <v>311</v>
      </c>
      <c r="C200">
        <v>-22</v>
      </c>
      <c r="D200">
        <v>332.35291139507598</v>
      </c>
      <c r="E200">
        <f t="shared" si="10"/>
        <v>21.352911395075978</v>
      </c>
      <c r="F200">
        <f t="shared" si="11"/>
        <v>0</v>
      </c>
      <c r="G200">
        <f t="shared" si="9"/>
        <v>21.352911395075978</v>
      </c>
      <c r="H200">
        <f>IF(E200&lt;0,-1,1)</f>
        <v>1</v>
      </c>
      <c r="I200">
        <f>H199+H200</f>
        <v>2</v>
      </c>
      <c r="J200">
        <v>1</v>
      </c>
    </row>
    <row r="201" spans="1:10" x14ac:dyDescent="0.25">
      <c r="A201" s="1">
        <v>44909</v>
      </c>
      <c r="B201">
        <v>310.5</v>
      </c>
      <c r="C201">
        <v>-22</v>
      </c>
      <c r="D201">
        <v>332.35291139507598</v>
      </c>
      <c r="E201">
        <f t="shared" si="10"/>
        <v>21.852911395075978</v>
      </c>
      <c r="F201">
        <f t="shared" si="11"/>
        <v>0</v>
      </c>
      <c r="G201">
        <f t="shared" si="9"/>
        <v>21.852911395075978</v>
      </c>
      <c r="H201">
        <f>IF(E201&lt;0,-1,1)</f>
        <v>1</v>
      </c>
      <c r="I201">
        <f>H200+H201</f>
        <v>2</v>
      </c>
      <c r="J201">
        <v>1</v>
      </c>
    </row>
    <row r="202" spans="1:10" x14ac:dyDescent="0.25">
      <c r="A202" s="1">
        <v>44910</v>
      </c>
      <c r="B202">
        <v>313.5</v>
      </c>
      <c r="C202">
        <v>-22</v>
      </c>
      <c r="D202">
        <v>332.35291139507598</v>
      </c>
      <c r="E202">
        <f t="shared" si="10"/>
        <v>18.852911395075978</v>
      </c>
      <c r="F202">
        <f t="shared" si="11"/>
        <v>0</v>
      </c>
      <c r="G202">
        <f t="shared" si="9"/>
        <v>18.852911395075978</v>
      </c>
      <c r="H202">
        <f>IF(E202&lt;0,-1,1)</f>
        <v>1</v>
      </c>
      <c r="I202">
        <f>H201+H202</f>
        <v>2</v>
      </c>
      <c r="J202">
        <v>1</v>
      </c>
    </row>
    <row r="203" spans="1:10" x14ac:dyDescent="0.25">
      <c r="A203" s="1">
        <v>44911</v>
      </c>
      <c r="B203">
        <v>306.5</v>
      </c>
      <c r="C203">
        <v>-22</v>
      </c>
      <c r="D203">
        <v>332.35291139507598</v>
      </c>
      <c r="E203">
        <f t="shared" si="10"/>
        <v>25.852911395075978</v>
      </c>
      <c r="F203">
        <f t="shared" si="11"/>
        <v>0</v>
      </c>
      <c r="G203">
        <f t="shared" si="9"/>
        <v>25.852911395075978</v>
      </c>
      <c r="H203">
        <f>IF(E203&lt;0,-1,1)</f>
        <v>1</v>
      </c>
      <c r="I203">
        <f>H202+H203</f>
        <v>2</v>
      </c>
      <c r="J203">
        <v>1</v>
      </c>
    </row>
    <row r="204" spans="1:10" x14ac:dyDescent="0.25">
      <c r="A204" s="1">
        <v>44914</v>
      </c>
      <c r="B204">
        <v>313.5</v>
      </c>
      <c r="C204">
        <v>-22</v>
      </c>
      <c r="D204">
        <v>332.35291139507598</v>
      </c>
      <c r="E204">
        <f t="shared" si="10"/>
        <v>18.852911395075978</v>
      </c>
      <c r="F204">
        <f t="shared" si="11"/>
        <v>0</v>
      </c>
      <c r="G204">
        <f t="shared" si="9"/>
        <v>18.852911395075978</v>
      </c>
      <c r="H204">
        <f>IF(E204&lt;0,-1,1)</f>
        <v>1</v>
      </c>
      <c r="I204">
        <f>H203+H204</f>
        <v>2</v>
      </c>
      <c r="J204">
        <v>1</v>
      </c>
    </row>
    <row r="205" spans="1:10" x14ac:dyDescent="0.25">
      <c r="A205" s="1">
        <v>44915</v>
      </c>
      <c r="B205">
        <v>307.5</v>
      </c>
      <c r="C205">
        <v>-22</v>
      </c>
      <c r="D205">
        <v>332.35291139507598</v>
      </c>
      <c r="E205">
        <f t="shared" si="10"/>
        <v>24.852911395075978</v>
      </c>
      <c r="F205">
        <f t="shared" si="11"/>
        <v>0</v>
      </c>
      <c r="G205">
        <f t="shared" si="9"/>
        <v>24.852911395075978</v>
      </c>
      <c r="H205">
        <f>IF(E205&lt;0,-1,1)</f>
        <v>1</v>
      </c>
      <c r="I205">
        <f>H204+H205</f>
        <v>2</v>
      </c>
      <c r="J205">
        <v>1</v>
      </c>
    </row>
    <row r="206" spans="1:10" x14ac:dyDescent="0.25">
      <c r="A206" s="1">
        <v>44916</v>
      </c>
      <c r="B206">
        <v>305</v>
      </c>
      <c r="C206">
        <v>-22</v>
      </c>
      <c r="D206">
        <v>332.35291139507598</v>
      </c>
      <c r="E206">
        <f t="shared" si="10"/>
        <v>27.352911395075978</v>
      </c>
      <c r="F206">
        <f t="shared" si="11"/>
        <v>0</v>
      </c>
      <c r="G206">
        <f t="shared" si="9"/>
        <v>27.352911395075978</v>
      </c>
      <c r="H206">
        <f>IF(E206&lt;0,-1,1)</f>
        <v>1</v>
      </c>
      <c r="I206">
        <f>H205+H206</f>
        <v>2</v>
      </c>
      <c r="J206">
        <v>1</v>
      </c>
    </row>
    <row r="207" spans="1:10" x14ac:dyDescent="0.25">
      <c r="A207" s="1">
        <v>44917</v>
      </c>
      <c r="B207">
        <v>307.5</v>
      </c>
      <c r="C207">
        <v>-22</v>
      </c>
      <c r="D207">
        <v>332.35291139507598</v>
      </c>
      <c r="E207">
        <f t="shared" si="10"/>
        <v>24.852911395075978</v>
      </c>
      <c r="F207">
        <f t="shared" si="11"/>
        <v>0</v>
      </c>
      <c r="G207">
        <f t="shared" si="9"/>
        <v>24.852911395075978</v>
      </c>
      <c r="H207">
        <f>IF(E207&lt;0,-1,1)</f>
        <v>1</v>
      </c>
      <c r="I207">
        <f>H206+H207</f>
        <v>2</v>
      </c>
      <c r="J207">
        <v>1</v>
      </c>
    </row>
    <row r="208" spans="1:10" x14ac:dyDescent="0.25">
      <c r="A208" s="1">
        <v>44918</v>
      </c>
      <c r="B208">
        <v>305</v>
      </c>
      <c r="C208">
        <v>-22</v>
      </c>
      <c r="D208">
        <v>332.35291139507598</v>
      </c>
      <c r="E208">
        <f t="shared" si="10"/>
        <v>27.352911395075978</v>
      </c>
      <c r="F208">
        <f t="shared" si="11"/>
        <v>0</v>
      </c>
      <c r="G208">
        <f t="shared" si="9"/>
        <v>27.352911395075978</v>
      </c>
      <c r="H208">
        <f>IF(E208&lt;0,-1,1)</f>
        <v>1</v>
      </c>
      <c r="I208">
        <f>H207+H208</f>
        <v>2</v>
      </c>
      <c r="J208">
        <v>1</v>
      </c>
    </row>
    <row r="209" spans="1:10" x14ac:dyDescent="0.25">
      <c r="A209" s="1">
        <v>44921</v>
      </c>
      <c r="B209">
        <v>305.5</v>
      </c>
      <c r="C209">
        <v>-22</v>
      </c>
      <c r="D209">
        <v>332.35291139507598</v>
      </c>
      <c r="E209">
        <f t="shared" si="10"/>
        <v>26.852911395075978</v>
      </c>
      <c r="F209">
        <f t="shared" si="11"/>
        <v>0</v>
      </c>
      <c r="G209">
        <f t="shared" si="9"/>
        <v>26.852911395075978</v>
      </c>
      <c r="H209">
        <f>IF(E209&lt;0,-1,1)</f>
        <v>1</v>
      </c>
      <c r="I209">
        <f>H208+H209</f>
        <v>2</v>
      </c>
      <c r="J209">
        <v>1</v>
      </c>
    </row>
    <row r="210" spans="1:10" x14ac:dyDescent="0.25">
      <c r="A210" s="1">
        <v>44922</v>
      </c>
      <c r="B210">
        <v>315.5</v>
      </c>
      <c r="C210">
        <v>-22</v>
      </c>
      <c r="D210">
        <v>332.35291139507598</v>
      </c>
      <c r="E210">
        <f t="shared" si="10"/>
        <v>16.852911395075978</v>
      </c>
      <c r="F210">
        <f t="shared" si="11"/>
        <v>0</v>
      </c>
      <c r="G210">
        <f t="shared" si="9"/>
        <v>16.852911395075978</v>
      </c>
      <c r="H210">
        <f>IF(E210&lt;0,-1,1)</f>
        <v>1</v>
      </c>
      <c r="I210">
        <f>H209+H210</f>
        <v>2</v>
      </c>
      <c r="J210">
        <v>1</v>
      </c>
    </row>
    <row r="211" spans="1:10" x14ac:dyDescent="0.25">
      <c r="A211" s="1">
        <v>44923</v>
      </c>
      <c r="B211">
        <v>310.5</v>
      </c>
      <c r="C211">
        <v>-22</v>
      </c>
      <c r="D211">
        <v>332.35291139507598</v>
      </c>
      <c r="E211">
        <f t="shared" si="10"/>
        <v>21.852911395075978</v>
      </c>
      <c r="F211">
        <f t="shared" si="11"/>
        <v>0</v>
      </c>
      <c r="G211">
        <f t="shared" si="9"/>
        <v>21.852911395075978</v>
      </c>
      <c r="H211">
        <f>IF(E211&lt;0,-1,1)</f>
        <v>1</v>
      </c>
      <c r="I211">
        <f>H210+H211</f>
        <v>2</v>
      </c>
      <c r="J211">
        <v>1</v>
      </c>
    </row>
    <row r="212" spans="1:10" x14ac:dyDescent="0.25">
      <c r="A212" s="1">
        <v>44924</v>
      </c>
      <c r="B212">
        <v>316.5</v>
      </c>
      <c r="C212">
        <v>-22</v>
      </c>
      <c r="D212">
        <v>332.35291139507598</v>
      </c>
      <c r="E212">
        <f t="shared" si="10"/>
        <v>15.852911395075978</v>
      </c>
      <c r="F212">
        <f t="shared" si="11"/>
        <v>0</v>
      </c>
      <c r="G212">
        <f t="shared" si="9"/>
        <v>15.852911395075978</v>
      </c>
      <c r="H212">
        <f>IF(E212&lt;0,-1,1)</f>
        <v>1</v>
      </c>
      <c r="I212">
        <f>H211+H212</f>
        <v>2</v>
      </c>
      <c r="J212">
        <v>1</v>
      </c>
    </row>
    <row r="213" spans="1:10" x14ac:dyDescent="0.25">
      <c r="A213" s="1">
        <v>44925</v>
      </c>
      <c r="B213">
        <v>315</v>
      </c>
      <c r="C213">
        <v>-22</v>
      </c>
      <c r="D213">
        <v>332.35291139507598</v>
      </c>
      <c r="E213">
        <f t="shared" si="10"/>
        <v>17.352911395075978</v>
      </c>
      <c r="F213">
        <f t="shared" si="11"/>
        <v>0</v>
      </c>
      <c r="G213">
        <f t="shared" si="9"/>
        <v>17.352911395075978</v>
      </c>
      <c r="H213">
        <f>IF(E213&lt;0,-1,1)</f>
        <v>1</v>
      </c>
      <c r="I213">
        <f>H212+H213</f>
        <v>2</v>
      </c>
      <c r="J213">
        <v>1</v>
      </c>
    </row>
    <row r="214" spans="1:10" x14ac:dyDescent="0.25">
      <c r="A214" s="1">
        <v>44929</v>
      </c>
      <c r="B214">
        <v>325</v>
      </c>
      <c r="C214">
        <v>-10</v>
      </c>
      <c r="D214">
        <v>359.84061146439097</v>
      </c>
      <c r="E214">
        <f t="shared" si="10"/>
        <v>34.840611464390975</v>
      </c>
      <c r="F214">
        <f t="shared" si="11"/>
        <v>27.487700069314997</v>
      </c>
      <c r="G214">
        <f t="shared" si="9"/>
        <v>34.840611464390975</v>
      </c>
      <c r="H214">
        <f>IF(E214&lt;0,-1,1)</f>
        <v>1</v>
      </c>
      <c r="I214">
        <f>H213+H214</f>
        <v>2</v>
      </c>
      <c r="J214">
        <v>1</v>
      </c>
    </row>
    <row r="215" spans="1:10" x14ac:dyDescent="0.25">
      <c r="A215" s="1">
        <v>44930</v>
      </c>
      <c r="B215">
        <v>327</v>
      </c>
      <c r="C215">
        <v>-10</v>
      </c>
      <c r="D215">
        <v>359.84061146439097</v>
      </c>
      <c r="E215">
        <f t="shared" si="10"/>
        <v>32.840611464390975</v>
      </c>
      <c r="F215">
        <f t="shared" si="11"/>
        <v>0</v>
      </c>
      <c r="G215">
        <f t="shared" si="9"/>
        <v>32.840611464390975</v>
      </c>
      <c r="H215">
        <f>IF(E215&lt;0,-1,1)</f>
        <v>1</v>
      </c>
      <c r="I215">
        <f>H214+H215</f>
        <v>2</v>
      </c>
      <c r="J215">
        <v>1</v>
      </c>
    </row>
    <row r="216" spans="1:10" x14ac:dyDescent="0.25">
      <c r="A216" s="1">
        <v>44931</v>
      </c>
      <c r="B216">
        <v>335.5</v>
      </c>
      <c r="C216">
        <v>-10</v>
      </c>
      <c r="D216">
        <v>359.84061146439097</v>
      </c>
      <c r="E216">
        <f t="shared" si="10"/>
        <v>24.340611464390975</v>
      </c>
      <c r="F216">
        <f t="shared" si="11"/>
        <v>0</v>
      </c>
      <c r="G216">
        <f t="shared" si="9"/>
        <v>24.340611464390975</v>
      </c>
      <c r="H216">
        <f>IF(E216&lt;0,-1,1)</f>
        <v>1</v>
      </c>
      <c r="I216">
        <f>H215+H216</f>
        <v>2</v>
      </c>
      <c r="J216">
        <v>1</v>
      </c>
    </row>
    <row r="217" spans="1:10" x14ac:dyDescent="0.25">
      <c r="A217" s="1">
        <v>44932</v>
      </c>
      <c r="B217">
        <v>351</v>
      </c>
      <c r="C217">
        <v>-10</v>
      </c>
      <c r="D217">
        <v>359.84061146439097</v>
      </c>
      <c r="E217">
        <f t="shared" si="10"/>
        <v>8.8406114643909746</v>
      </c>
      <c r="F217">
        <f t="shared" si="11"/>
        <v>0</v>
      </c>
      <c r="G217">
        <f t="shared" si="9"/>
        <v>8.8406114643909746</v>
      </c>
      <c r="H217">
        <f>IF(E217&lt;0,-1,1)</f>
        <v>1</v>
      </c>
      <c r="I217">
        <f>H216+H217</f>
        <v>2</v>
      </c>
      <c r="J217">
        <v>1</v>
      </c>
    </row>
    <row r="218" spans="1:10" x14ac:dyDescent="0.25">
      <c r="A218" s="1">
        <v>44935</v>
      </c>
      <c r="B218">
        <v>349</v>
      </c>
      <c r="C218">
        <v>-10</v>
      </c>
      <c r="D218">
        <v>359.84061146439097</v>
      </c>
      <c r="E218">
        <f t="shared" si="10"/>
        <v>10.840611464390975</v>
      </c>
      <c r="F218">
        <f t="shared" si="11"/>
        <v>0</v>
      </c>
      <c r="G218">
        <f t="shared" si="9"/>
        <v>10.840611464390975</v>
      </c>
      <c r="H218">
        <f>IF(E218&lt;0,-1,1)</f>
        <v>1</v>
      </c>
      <c r="I218">
        <f>H217+H218</f>
        <v>2</v>
      </c>
      <c r="J218">
        <v>1</v>
      </c>
    </row>
    <row r="219" spans="1:10" x14ac:dyDescent="0.25">
      <c r="A219" s="1">
        <v>44936</v>
      </c>
      <c r="B219">
        <v>354</v>
      </c>
      <c r="C219">
        <v>-10</v>
      </c>
      <c r="D219">
        <v>359.84061146439097</v>
      </c>
      <c r="E219">
        <f t="shared" si="10"/>
        <v>5.8406114643909746</v>
      </c>
      <c r="F219">
        <f t="shared" si="11"/>
        <v>0</v>
      </c>
      <c r="G219">
        <f t="shared" si="9"/>
        <v>5.8406114643909746</v>
      </c>
      <c r="H219">
        <f>IF(E219&lt;0,-1,1)</f>
        <v>1</v>
      </c>
      <c r="I219">
        <f>H218+H219</f>
        <v>2</v>
      </c>
      <c r="J219">
        <v>1</v>
      </c>
    </row>
    <row r="220" spans="1:10" x14ac:dyDescent="0.25">
      <c r="A220" s="1">
        <v>44937</v>
      </c>
      <c r="B220">
        <v>362.5</v>
      </c>
      <c r="C220">
        <v>-8</v>
      </c>
      <c r="D220">
        <v>364.42189480927601</v>
      </c>
      <c r="E220">
        <f t="shared" si="10"/>
        <v>1.9218948092760115</v>
      </c>
      <c r="F220">
        <f t="shared" si="11"/>
        <v>4.581283344885037</v>
      </c>
      <c r="G220">
        <f t="shared" si="9"/>
        <v>1.9218948092760115</v>
      </c>
      <c r="H220">
        <f>IF(E220&lt;0,-1,1)</f>
        <v>1</v>
      </c>
      <c r="I220">
        <f>H219+H220</f>
        <v>2</v>
      </c>
      <c r="J220">
        <v>1</v>
      </c>
    </row>
    <row r="221" spans="1:10" x14ac:dyDescent="0.25">
      <c r="A221" s="1">
        <v>44938</v>
      </c>
      <c r="B221">
        <v>355</v>
      </c>
      <c r="C221">
        <v>-8</v>
      </c>
      <c r="D221">
        <v>364.42189480927601</v>
      </c>
      <c r="E221">
        <f t="shared" si="10"/>
        <v>9.4218948092760115</v>
      </c>
      <c r="F221">
        <f t="shared" si="11"/>
        <v>0</v>
      </c>
      <c r="G221">
        <f t="shared" si="9"/>
        <v>9.4218948092760115</v>
      </c>
      <c r="H221">
        <f>IF(E221&lt;0,-1,1)</f>
        <v>1</v>
      </c>
      <c r="I221">
        <f>H220+H221</f>
        <v>2</v>
      </c>
      <c r="J221">
        <v>1</v>
      </c>
    </row>
    <row r="222" spans="1:10" x14ac:dyDescent="0.25">
      <c r="A222" s="1">
        <v>44939</v>
      </c>
      <c r="B222">
        <v>348.5</v>
      </c>
      <c r="C222">
        <v>-8</v>
      </c>
      <c r="D222">
        <v>364.42189480927601</v>
      </c>
      <c r="E222">
        <f t="shared" si="10"/>
        <v>15.921894809276012</v>
      </c>
      <c r="F222">
        <f t="shared" si="11"/>
        <v>0</v>
      </c>
      <c r="G222">
        <f t="shared" si="9"/>
        <v>15.921894809276012</v>
      </c>
      <c r="H222">
        <f>IF(E222&lt;0,-1,1)</f>
        <v>1</v>
      </c>
      <c r="I222">
        <f>H221+H222</f>
        <v>2</v>
      </c>
      <c r="J222">
        <v>1</v>
      </c>
    </row>
    <row r="223" spans="1:10" x14ac:dyDescent="0.25">
      <c r="A223" s="1">
        <v>44942</v>
      </c>
      <c r="B223">
        <v>354.5</v>
      </c>
      <c r="C223">
        <v>-8</v>
      </c>
      <c r="D223">
        <v>364.42189480927601</v>
      </c>
      <c r="E223">
        <f t="shared" si="10"/>
        <v>9.9218948092760115</v>
      </c>
      <c r="F223">
        <f t="shared" si="11"/>
        <v>0</v>
      </c>
      <c r="G223">
        <f t="shared" si="9"/>
        <v>9.9218948092760115</v>
      </c>
      <c r="H223">
        <f>IF(E223&lt;0,-1,1)</f>
        <v>1</v>
      </c>
      <c r="I223">
        <f>H222+H223</f>
        <v>2</v>
      </c>
      <c r="J223">
        <v>1</v>
      </c>
    </row>
    <row r="224" spans="1:10" x14ac:dyDescent="0.25">
      <c r="A224" s="1">
        <v>44943</v>
      </c>
      <c r="B224">
        <v>356.5</v>
      </c>
      <c r="C224">
        <v>-8</v>
      </c>
      <c r="D224">
        <v>364.42189480927601</v>
      </c>
      <c r="E224">
        <f t="shared" si="10"/>
        <v>7.9218948092760115</v>
      </c>
      <c r="F224">
        <f t="shared" si="11"/>
        <v>0</v>
      </c>
      <c r="G224">
        <f t="shared" si="9"/>
        <v>7.9218948092760115</v>
      </c>
      <c r="H224">
        <f>IF(E224&lt;0,-1,1)</f>
        <v>1</v>
      </c>
      <c r="I224">
        <f>H223+H224</f>
        <v>2</v>
      </c>
      <c r="J224">
        <v>1</v>
      </c>
    </row>
    <row r="225" spans="1:10" x14ac:dyDescent="0.25">
      <c r="A225" s="3">
        <v>44956</v>
      </c>
      <c r="B225" s="4">
        <v>365</v>
      </c>
      <c r="C225" s="4">
        <v>-8</v>
      </c>
      <c r="D225" s="4">
        <v>364.42189480927601</v>
      </c>
      <c r="E225">
        <f t="shared" si="10"/>
        <v>-0.57810519072398847</v>
      </c>
      <c r="F225">
        <f t="shared" si="11"/>
        <v>0</v>
      </c>
      <c r="G225">
        <f t="shared" si="9"/>
        <v>-0.57810519072398847</v>
      </c>
      <c r="H225">
        <f>IF(E225&lt;0,-1,1)</f>
        <v>-1</v>
      </c>
      <c r="I225">
        <f>H224+H225</f>
        <v>0</v>
      </c>
      <c r="J225">
        <v>0</v>
      </c>
    </row>
    <row r="226" spans="1:10" x14ac:dyDescent="0.25">
      <c r="A226" s="1">
        <v>44957</v>
      </c>
      <c r="B226">
        <v>371</v>
      </c>
      <c r="C226">
        <v>-8</v>
      </c>
      <c r="D226">
        <v>364.42189480927601</v>
      </c>
      <c r="E226">
        <f t="shared" si="10"/>
        <v>-6.5781051907239885</v>
      </c>
      <c r="F226">
        <f t="shared" si="11"/>
        <v>0</v>
      </c>
      <c r="G226">
        <f t="shared" si="9"/>
        <v>-6.5781051907239885</v>
      </c>
      <c r="H226">
        <f>IF(E226&lt;0,-1,1)</f>
        <v>-1</v>
      </c>
      <c r="I226">
        <f>H225+H226</f>
        <v>-2</v>
      </c>
      <c r="J226">
        <v>0</v>
      </c>
    </row>
    <row r="227" spans="1:10" x14ac:dyDescent="0.25">
      <c r="A227" s="1">
        <v>44958</v>
      </c>
      <c r="B227">
        <v>368</v>
      </c>
      <c r="C227">
        <v>-8</v>
      </c>
      <c r="D227">
        <v>364.42189480927601</v>
      </c>
      <c r="E227">
        <f t="shared" si="10"/>
        <v>-3.5781051907239885</v>
      </c>
      <c r="F227">
        <f t="shared" si="11"/>
        <v>0</v>
      </c>
      <c r="G227">
        <f t="shared" si="9"/>
        <v>-3.5781051907239885</v>
      </c>
      <c r="H227">
        <f>IF(E227&lt;0,-1,1)</f>
        <v>-1</v>
      </c>
      <c r="I227">
        <f>H226+H227</f>
        <v>-2</v>
      </c>
      <c r="J227">
        <v>0</v>
      </c>
    </row>
    <row r="228" spans="1:10" x14ac:dyDescent="0.25">
      <c r="A228" s="1">
        <v>44959</v>
      </c>
      <c r="B228">
        <v>369</v>
      </c>
      <c r="C228">
        <v>-8</v>
      </c>
      <c r="D228">
        <v>364.42189480927601</v>
      </c>
      <c r="E228">
        <f t="shared" si="10"/>
        <v>-4.5781051907239885</v>
      </c>
      <c r="F228">
        <f t="shared" si="11"/>
        <v>0</v>
      </c>
      <c r="G228">
        <f t="shared" si="9"/>
        <v>-4.5781051907239885</v>
      </c>
      <c r="H228">
        <f>IF(E228&lt;0,-1,1)</f>
        <v>-1</v>
      </c>
      <c r="I228">
        <f>H227+H228</f>
        <v>-2</v>
      </c>
      <c r="J228">
        <v>0</v>
      </c>
    </row>
    <row r="229" spans="1:10" x14ac:dyDescent="0.25">
      <c r="A229" s="1">
        <v>44960</v>
      </c>
      <c r="B229">
        <v>368</v>
      </c>
      <c r="C229">
        <v>-8</v>
      </c>
      <c r="D229">
        <v>364.42189480927601</v>
      </c>
      <c r="E229">
        <f t="shared" si="10"/>
        <v>-3.5781051907239885</v>
      </c>
      <c r="F229">
        <f t="shared" si="11"/>
        <v>0</v>
      </c>
      <c r="G229">
        <f t="shared" si="9"/>
        <v>-3.5781051907239885</v>
      </c>
      <c r="H229">
        <f>IF(E229&lt;0,-1,1)</f>
        <v>-1</v>
      </c>
      <c r="I229">
        <f>H228+H229</f>
        <v>-2</v>
      </c>
      <c r="J229">
        <v>0</v>
      </c>
    </row>
    <row r="230" spans="1:10" x14ac:dyDescent="0.25">
      <c r="A230" s="1">
        <v>44963</v>
      </c>
      <c r="B230">
        <v>364</v>
      </c>
      <c r="C230">
        <v>-8</v>
      </c>
      <c r="D230">
        <v>364.42189480927601</v>
      </c>
      <c r="E230">
        <f t="shared" si="10"/>
        <v>0.42189480927601153</v>
      </c>
      <c r="F230">
        <f t="shared" si="11"/>
        <v>0</v>
      </c>
      <c r="G230">
        <f t="shared" si="9"/>
        <v>0.42189480927601153</v>
      </c>
      <c r="H230">
        <f>IF(E230&lt;0,-1,1)</f>
        <v>1</v>
      </c>
      <c r="I230">
        <f>H229+H230</f>
        <v>0</v>
      </c>
      <c r="J230">
        <v>0</v>
      </c>
    </row>
    <row r="231" spans="1:10" x14ac:dyDescent="0.25">
      <c r="A231" s="1">
        <v>44964</v>
      </c>
      <c r="B231">
        <v>359</v>
      </c>
      <c r="C231">
        <v>-8</v>
      </c>
      <c r="D231">
        <v>364.42189480927601</v>
      </c>
      <c r="E231">
        <f t="shared" si="10"/>
        <v>5.4218948092760115</v>
      </c>
      <c r="F231">
        <f t="shared" si="11"/>
        <v>0</v>
      </c>
      <c r="G231">
        <f t="shared" si="9"/>
        <v>5.4218948092760115</v>
      </c>
      <c r="H231">
        <f>IF(E231&lt;0,-1,1)</f>
        <v>1</v>
      </c>
      <c r="I231">
        <f>H230+H231</f>
        <v>2</v>
      </c>
      <c r="J231">
        <v>0</v>
      </c>
    </row>
    <row r="232" spans="1:10" x14ac:dyDescent="0.25">
      <c r="A232" s="1">
        <v>44965</v>
      </c>
      <c r="B232">
        <v>370.5</v>
      </c>
      <c r="C232">
        <v>-8</v>
      </c>
      <c r="D232">
        <v>364.42189480927601</v>
      </c>
      <c r="E232">
        <f t="shared" si="10"/>
        <v>-6.0781051907239885</v>
      </c>
      <c r="F232">
        <f t="shared" si="11"/>
        <v>0</v>
      </c>
      <c r="G232">
        <f t="shared" si="9"/>
        <v>-6.0781051907239885</v>
      </c>
      <c r="H232">
        <f>IF(E232&lt;0,-1,1)</f>
        <v>-1</v>
      </c>
      <c r="I232">
        <f>H231+H232</f>
        <v>0</v>
      </c>
      <c r="J232">
        <v>0</v>
      </c>
    </row>
    <row r="233" spans="1:10" x14ac:dyDescent="0.25">
      <c r="A233" s="1">
        <v>44966</v>
      </c>
      <c r="B233">
        <v>360.5</v>
      </c>
      <c r="C233">
        <v>-8</v>
      </c>
      <c r="D233">
        <v>364.42189480927601</v>
      </c>
      <c r="E233">
        <f t="shared" si="10"/>
        <v>3.9218948092760115</v>
      </c>
      <c r="F233">
        <f t="shared" si="11"/>
        <v>0</v>
      </c>
      <c r="G233">
        <f t="shared" si="9"/>
        <v>3.9218948092760115</v>
      </c>
      <c r="H233">
        <f>IF(E233&lt;0,-1,1)</f>
        <v>1</v>
      </c>
      <c r="I233">
        <f>H232+H233</f>
        <v>0</v>
      </c>
      <c r="J233">
        <v>0</v>
      </c>
    </row>
    <row r="234" spans="1:10" x14ac:dyDescent="0.25">
      <c r="G234">
        <f t="shared" si="9"/>
        <v>0</v>
      </c>
      <c r="I234">
        <f>H233+H234</f>
        <v>1</v>
      </c>
      <c r="J234">
        <v>0</v>
      </c>
    </row>
  </sheetData>
  <phoneticPr fontId="18" type="noConversion"/>
  <conditionalFormatting sqref="G1:G1048576">
    <cfRule type="cellIs" dxfId="13" priority="5" operator="greaterThan">
      <formula>15</formula>
    </cfRule>
    <cfRule type="cellIs" dxfId="12" priority="4" operator="lessThan">
      <formula>-15</formula>
    </cfRule>
  </conditionalFormatting>
  <conditionalFormatting sqref="F1:F1048576">
    <cfRule type="cellIs" dxfId="11" priority="3" operator="greaterThan">
      <formula>0</formula>
    </cfRule>
    <cfRule type="cellIs" dxfId="10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psotck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崔德昌</dc:creator>
  <cp:lastModifiedBy>崔德昌</cp:lastModifiedBy>
  <dcterms:created xsi:type="dcterms:W3CDTF">2023-02-13T10:33:59Z</dcterms:created>
  <dcterms:modified xsi:type="dcterms:W3CDTF">2023-02-13T10:33:59Z</dcterms:modified>
</cp:coreProperties>
</file>