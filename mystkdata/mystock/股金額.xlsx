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nson_tsui\Documents\mystock\"/>
    </mc:Choice>
  </mc:AlternateContent>
  <bookViews>
    <workbookView xWindow="0" yWindow="0" windowWidth="28800" windowHeight="12285" activeTab="4"/>
  </bookViews>
  <sheets>
    <sheet name="工作表3" sheetId="3" r:id="rId1"/>
    <sheet name="工作表2" sheetId="2" r:id="rId2"/>
    <sheet name="工作表1" sheetId="5" r:id="rId3"/>
    <sheet name="每月V1" sheetId="4" r:id="rId4"/>
    <sheet name="每月V2" sheetId="6" r:id="rId5"/>
  </sheets>
  <definedNames>
    <definedName name="_xlnm._FilterDatabase" localSheetId="1" hidden="1">工作表2!$A$1:$U$28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6" l="1"/>
  <c r="C11" i="6"/>
  <c r="E10" i="6"/>
  <c r="B38" i="4"/>
  <c r="G9" i="6"/>
  <c r="F9" i="6"/>
  <c r="F6" i="6"/>
  <c r="C6" i="6"/>
  <c r="G7" i="6"/>
  <c r="D7" i="6"/>
  <c r="L27" i="4" l="1"/>
  <c r="K27" i="4"/>
  <c r="G27" i="4"/>
  <c r="G26" i="4" l="1"/>
  <c r="G25" i="4"/>
  <c r="B27" i="4"/>
  <c r="B39" i="4" s="1"/>
  <c r="D27" i="4"/>
  <c r="C27" i="4"/>
  <c r="B40" i="4" s="1"/>
  <c r="A45" i="4" l="1"/>
  <c r="B11" i="4"/>
  <c r="B10" i="4"/>
  <c r="B12" i="4"/>
  <c r="F27" i="4"/>
  <c r="F26" i="4"/>
  <c r="F25" i="4"/>
  <c r="E27" i="4"/>
  <c r="E25" i="4"/>
  <c r="E26" i="4"/>
  <c r="D25" i="4" l="1"/>
  <c r="D26" i="4"/>
  <c r="C26" i="4"/>
  <c r="B26" i="4"/>
  <c r="C25" i="4"/>
  <c r="B25" i="4"/>
  <c r="C5" i="4"/>
  <c r="D5" i="4"/>
  <c r="J11" i="4"/>
  <c r="J10" i="4"/>
  <c r="B13" i="4"/>
  <c r="C6" i="4"/>
  <c r="D6" i="4"/>
  <c r="B6" i="4"/>
  <c r="B7" i="4"/>
  <c r="D7" i="4"/>
  <c r="C7" i="4"/>
  <c r="B5" i="4"/>
  <c r="A46" i="4" l="1"/>
  <c r="A49" i="4" s="1"/>
  <c r="B9" i="4"/>
  <c r="C9" i="4"/>
  <c r="D9" i="4"/>
</calcChain>
</file>

<file path=xl/sharedStrings.xml><?xml version="1.0" encoding="utf-8"?>
<sst xmlns="http://schemas.openxmlformats.org/spreadsheetml/2006/main" count="1487" uniqueCount="127">
  <si>
    <t>交易帳號</t>
  </si>
  <si>
    <t>市場別</t>
  </si>
  <si>
    <t>種類</t>
  </si>
  <si>
    <t>代號</t>
  </si>
  <si>
    <t>商品名稱</t>
  </si>
  <si>
    <t>欲委託價</t>
  </si>
  <si>
    <t>欲委託量</t>
  </si>
  <si>
    <t>可下單數量</t>
  </si>
  <si>
    <t>現股數量</t>
  </si>
  <si>
    <t>成本均價</t>
  </si>
  <si>
    <t>市價</t>
  </si>
  <si>
    <t>股票市值</t>
  </si>
  <si>
    <t>持有成本</t>
  </si>
  <si>
    <t>盈虧</t>
  </si>
  <si>
    <t>盈虧(%)</t>
  </si>
  <si>
    <t>預估息</t>
  </si>
  <si>
    <t>買未入</t>
  </si>
  <si>
    <t>賣未入</t>
  </si>
  <si>
    <t>損益平衡點</t>
  </si>
  <si>
    <t>交易幣別</t>
  </si>
  <si>
    <t>借貸擔保品</t>
  </si>
  <si>
    <t>9859-0115600</t>
  </si>
  <si>
    <t>上市</t>
  </si>
  <si>
    <t>現股</t>
  </si>
  <si>
    <t>元大台灣50</t>
  </si>
  <si>
    <t>L</t>
  </si>
  <si>
    <t>-</t>
  </si>
  <si>
    <t>台幣</t>
  </si>
  <si>
    <t>元大高股息</t>
  </si>
  <si>
    <t>00632R</t>
  </si>
  <si>
    <t>元大台灣50反1</t>
  </si>
  <si>
    <t>_</t>
  </si>
  <si>
    <t>元大台灣高息低波</t>
  </si>
  <si>
    <t>國泰永續高股息</t>
  </si>
  <si>
    <t>中信中國高股息</t>
  </si>
  <si>
    <t>卜蜂</t>
  </si>
  <si>
    <t>弘裕</t>
  </si>
  <si>
    <t>亞力</t>
  </si>
  <si>
    <t>正新</t>
  </si>
  <si>
    <t>長榮航</t>
  </si>
  <si>
    <t>台中銀</t>
  </si>
  <si>
    <t>台新金</t>
  </si>
  <si>
    <t>第一金</t>
  </si>
  <si>
    <t>佳醫</t>
  </si>
  <si>
    <t>崇越</t>
  </si>
  <si>
    <t>中租-KY</t>
  </si>
  <si>
    <t>帝寶</t>
  </si>
  <si>
    <t>茂順</t>
  </si>
  <si>
    <t>上櫃</t>
  </si>
  <si>
    <t>00751B</t>
  </si>
  <si>
    <t>元大AAA至A公司債</t>
  </si>
  <si>
    <t>00937B</t>
  </si>
  <si>
    <t>群益ESG投等債20+</t>
  </si>
  <si>
    <t>精剛</t>
  </si>
  <si>
    <t>僑威</t>
  </si>
  <si>
    <t>崇友</t>
  </si>
  <si>
    <t>合一</t>
  </si>
  <si>
    <t>元隆</t>
  </si>
  <si>
    <t>[台幣]小計</t>
  </si>
  <si>
    <t>成交日期</t>
  </si>
  <si>
    <t>成交數量</t>
  </si>
  <si>
    <t>成交價</t>
  </si>
  <si>
    <t>融資金額/券擔保品</t>
  </si>
  <si>
    <t>幣別</t>
  </si>
  <si>
    <t>代號</t>
    <phoneticPr fontId="1" type="noConversion"/>
  </si>
  <si>
    <t>價格</t>
    <phoneticPr fontId="1" type="noConversion"/>
  </si>
  <si>
    <t>股利</t>
    <phoneticPr fontId="1" type="noConversion"/>
  </si>
  <si>
    <t>張</t>
    <phoneticPr fontId="1" type="noConversion"/>
  </si>
  <si>
    <t>總額</t>
    <phoneticPr fontId="1" type="noConversion"/>
  </si>
  <si>
    <t>金額</t>
    <phoneticPr fontId="1" type="noConversion"/>
  </si>
  <si>
    <t>0056</t>
    <phoneticPr fontId="1" type="noConversion"/>
  </si>
  <si>
    <t>00878</t>
    <phoneticPr fontId="1" type="noConversion"/>
  </si>
  <si>
    <t>00919</t>
    <phoneticPr fontId="1" type="noConversion"/>
  </si>
  <si>
    <t>2,5,8,11</t>
    <phoneticPr fontId="1" type="noConversion"/>
  </si>
  <si>
    <t>1,4,1,10</t>
    <phoneticPr fontId="1" type="noConversion"/>
  </si>
  <si>
    <t>00713</t>
    <phoneticPr fontId="1" type="noConversion"/>
  </si>
  <si>
    <t>3,6,9,12</t>
    <phoneticPr fontId="1" type="noConversion"/>
  </si>
  <si>
    <t>季配金額</t>
    <phoneticPr fontId="1" type="noConversion"/>
  </si>
  <si>
    <t>月份</t>
    <phoneticPr fontId="1" type="noConversion"/>
  </si>
  <si>
    <t>總張</t>
    <phoneticPr fontId="1" type="noConversion"/>
  </si>
  <si>
    <t>持股比例</t>
    <phoneticPr fontId="1" type="noConversion"/>
  </si>
  <si>
    <t>季領總額</t>
    <phoneticPr fontId="1" type="noConversion"/>
  </si>
  <si>
    <t>換算年報酬率</t>
    <phoneticPr fontId="1" type="noConversion"/>
  </si>
  <si>
    <t>00937B</t>
    <phoneticPr fontId="1" type="noConversion"/>
  </si>
  <si>
    <t>月配</t>
    <phoneticPr fontId="1" type="noConversion"/>
  </si>
  <si>
    <t>00751B</t>
    <phoneticPr fontId="1" type="noConversion"/>
  </si>
  <si>
    <t>3,6,9,12</t>
    <phoneticPr fontId="1" type="noConversion"/>
  </si>
  <si>
    <t>1,4,7,10</t>
    <phoneticPr fontId="1" type="noConversion"/>
  </si>
  <si>
    <t>2,5,8,11</t>
    <phoneticPr fontId="1" type="noConversion"/>
  </si>
  <si>
    <t>3,6,9,12</t>
    <phoneticPr fontId="1" type="noConversion"/>
  </si>
  <si>
    <t>1,4,7,10</t>
    <phoneticPr fontId="1" type="noConversion"/>
  </si>
  <si>
    <t>1,4,7,10</t>
    <phoneticPr fontId="1" type="noConversion"/>
  </si>
  <si>
    <t>現金股息</t>
  </si>
  <si>
    <t>優盛</t>
  </si>
  <si>
    <t>敦陽科</t>
  </si>
  <si>
    <t>緯軟</t>
  </si>
  <si>
    <t>大樹</t>
  </si>
  <si>
    <t>年興</t>
  </si>
  <si>
    <t>聯華</t>
  </si>
  <si>
    <t>金益鼎</t>
  </si>
  <si>
    <t>中租-K</t>
  </si>
  <si>
    <t>立端</t>
  </si>
  <si>
    <t>00882</t>
    <phoneticPr fontId="1" type="noConversion"/>
  </si>
  <si>
    <t>玉山金</t>
  </si>
  <si>
    <t>集賣</t>
  </si>
  <si>
    <t>基金配息</t>
  </si>
  <si>
    <t>國泰息收</t>
  </si>
  <si>
    <t>永豐</t>
    <phoneticPr fontId="1" type="noConversion"/>
  </si>
  <si>
    <t>元大</t>
    <phoneticPr fontId="1" type="noConversion"/>
  </si>
  <si>
    <t>A00882</t>
    <phoneticPr fontId="1" type="noConversion"/>
  </si>
  <si>
    <t>第一銀行</t>
    <phoneticPr fontId="1" type="noConversion"/>
  </si>
  <si>
    <t>台新</t>
    <phoneticPr fontId="1" type="noConversion"/>
  </si>
  <si>
    <t>一銀</t>
    <phoneticPr fontId="1" type="noConversion"/>
  </si>
  <si>
    <t>一銀</t>
    <phoneticPr fontId="1" type="noConversion"/>
  </si>
  <si>
    <t>匯款銀行</t>
    <phoneticPr fontId="1" type="noConversion"/>
  </si>
  <si>
    <t>發放月份</t>
    <phoneticPr fontId="1" type="noConversion"/>
  </si>
  <si>
    <t>配息手續費</t>
    <phoneticPr fontId="1" type="noConversion"/>
  </si>
  <si>
    <t>年月</t>
    <phoneticPr fontId="1" type="noConversion"/>
  </si>
  <si>
    <t>00933b</t>
    <phoneticPr fontId="1" type="noConversion"/>
  </si>
  <si>
    <t>00940</t>
    <phoneticPr fontId="1" type="noConversion"/>
  </si>
  <si>
    <t>00857B</t>
    <phoneticPr fontId="1" type="noConversion"/>
  </si>
  <si>
    <t>00687B</t>
    <phoneticPr fontId="1" type="noConversion"/>
  </si>
  <si>
    <t>群益</t>
    <phoneticPr fontId="1" type="noConversion"/>
  </si>
  <si>
    <t>張數</t>
    <phoneticPr fontId="1" type="noConversion"/>
  </si>
  <si>
    <t>股利</t>
    <phoneticPr fontId="1" type="noConversion"/>
  </si>
  <si>
    <t>月份</t>
    <phoneticPr fontId="1" type="noConversion"/>
  </si>
  <si>
    <t>股利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</si>
</sst>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40C28"/>
      <name val="細明體_HKSCS"/>
      <family val="1"/>
      <charset val="136"/>
    </font>
    <font>
      <sz val="12"/>
      <color theme="1"/>
      <name val="細明體_HKSCS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2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Fill="1" applyBorder="1">
      <alignment vertical="center"/>
    </xf>
    <xf numFmtId="0" fontId="0" fillId="0" borderId="8" xfId="0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176" fontId="0" fillId="2" borderId="1" xfId="0" applyNumberFormat="1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>
      <alignment vertical="center"/>
    </xf>
    <xf numFmtId="176" fontId="0" fillId="0" borderId="1" xfId="0" applyNumberFormat="1" applyFill="1" applyBorder="1">
      <alignment vertical="center"/>
    </xf>
    <xf numFmtId="0" fontId="0" fillId="0" borderId="0" xfId="0">
      <alignment vertical="center"/>
    </xf>
    <xf numFmtId="0" fontId="0" fillId="5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Views>
    <sheetView workbookViewId="0"/>
  </sheetViews>
  <sheetFormatPr defaultRowHeight="16.5" x14ac:dyDescent="0.25"/>
  <cols>
    <col min="1" max="1" width="13.5" bestFit="1" customWidth="1"/>
    <col min="2" max="2" width="5.5" bestFit="1" customWidth="1"/>
    <col min="3" max="3" width="7.75" bestFit="1" customWidth="1"/>
    <col min="4" max="4" width="20" bestFit="1" customWidth="1"/>
    <col min="5" max="5" width="10.5" bestFit="1" customWidth="1"/>
    <col min="6" max="6" width="9.5" bestFit="1" customWidth="1"/>
    <col min="7" max="7" width="7.5" bestFit="1" customWidth="1"/>
    <col min="8" max="8" width="9.5" bestFit="1" customWidth="1"/>
    <col min="9" max="9" width="7.5" bestFit="1" customWidth="1"/>
    <col min="10" max="10" width="18.875" bestFit="1" customWidth="1"/>
    <col min="11" max="11" width="5.5" bestFit="1" customWidth="1"/>
  </cols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59</v>
      </c>
      <c r="F1" t="s">
        <v>60</v>
      </c>
      <c r="G1" t="s">
        <v>61</v>
      </c>
      <c r="H1" t="s">
        <v>12</v>
      </c>
      <c r="I1" t="s">
        <v>15</v>
      </c>
      <c r="J1" t="s">
        <v>62</v>
      </c>
      <c r="K1" t="s">
        <v>63</v>
      </c>
    </row>
    <row r="2" spans="1:11" x14ac:dyDescent="0.25">
      <c r="A2" t="s">
        <v>21</v>
      </c>
      <c r="B2" t="s">
        <v>23</v>
      </c>
      <c r="C2">
        <v>50</v>
      </c>
      <c r="D2" t="s">
        <v>24</v>
      </c>
      <c r="E2" s="3">
        <v>44333</v>
      </c>
      <c r="F2">
        <v>97</v>
      </c>
      <c r="G2">
        <v>127.05</v>
      </c>
      <c r="H2">
        <v>12335</v>
      </c>
      <c r="I2" t="s">
        <v>26</v>
      </c>
      <c r="J2" t="s">
        <v>26</v>
      </c>
      <c r="K2" t="s">
        <v>27</v>
      </c>
    </row>
    <row r="3" spans="1:11" x14ac:dyDescent="0.25">
      <c r="A3" t="s">
        <v>21</v>
      </c>
      <c r="B3" t="s">
        <v>23</v>
      </c>
      <c r="C3">
        <v>50</v>
      </c>
      <c r="D3" t="s">
        <v>24</v>
      </c>
      <c r="E3" s="3">
        <v>44333</v>
      </c>
      <c r="F3">
        <v>84</v>
      </c>
      <c r="G3">
        <v>126.73</v>
      </c>
      <c r="H3">
        <v>10654</v>
      </c>
      <c r="I3" t="s">
        <v>26</v>
      </c>
      <c r="J3" t="s">
        <v>26</v>
      </c>
      <c r="K3" t="s">
        <v>27</v>
      </c>
    </row>
    <row r="4" spans="1:11" x14ac:dyDescent="0.25">
      <c r="A4" t="s">
        <v>21</v>
      </c>
      <c r="B4" t="s">
        <v>23</v>
      </c>
      <c r="C4">
        <v>50</v>
      </c>
      <c r="D4" t="s">
        <v>24</v>
      </c>
      <c r="E4" s="3">
        <v>44363</v>
      </c>
      <c r="F4">
        <v>91</v>
      </c>
      <c r="G4">
        <v>138.65</v>
      </c>
      <c r="H4">
        <v>12627</v>
      </c>
      <c r="I4" t="s">
        <v>26</v>
      </c>
      <c r="J4" t="s">
        <v>26</v>
      </c>
      <c r="K4" t="s">
        <v>27</v>
      </c>
    </row>
    <row r="5" spans="1:11" x14ac:dyDescent="0.25">
      <c r="A5" t="s">
        <v>21</v>
      </c>
      <c r="B5" t="s">
        <v>23</v>
      </c>
      <c r="C5">
        <v>50</v>
      </c>
      <c r="D5" t="s">
        <v>24</v>
      </c>
      <c r="E5" s="3">
        <v>44393</v>
      </c>
      <c r="F5">
        <v>91</v>
      </c>
      <c r="G5">
        <v>139.74</v>
      </c>
      <c r="H5">
        <v>12726</v>
      </c>
      <c r="I5" t="s">
        <v>26</v>
      </c>
      <c r="J5" t="s">
        <v>26</v>
      </c>
      <c r="K5" t="s">
        <v>27</v>
      </c>
    </row>
    <row r="6" spans="1:11" x14ac:dyDescent="0.25">
      <c r="A6" t="s">
        <v>21</v>
      </c>
      <c r="B6" t="s">
        <v>23</v>
      </c>
      <c r="C6">
        <v>50</v>
      </c>
      <c r="D6" t="s">
        <v>24</v>
      </c>
      <c r="E6" s="3">
        <v>44424</v>
      </c>
      <c r="F6">
        <v>93</v>
      </c>
      <c r="G6">
        <v>135.33000000000001</v>
      </c>
      <c r="H6">
        <v>12595</v>
      </c>
      <c r="I6" t="s">
        <v>26</v>
      </c>
      <c r="J6" t="s">
        <v>26</v>
      </c>
      <c r="K6" t="s">
        <v>27</v>
      </c>
    </row>
    <row r="7" spans="1:11" x14ac:dyDescent="0.25">
      <c r="A7" t="s">
        <v>21</v>
      </c>
      <c r="B7" t="s">
        <v>23</v>
      </c>
      <c r="C7">
        <v>50</v>
      </c>
      <c r="D7" t="s">
        <v>24</v>
      </c>
      <c r="E7" s="3">
        <v>44455</v>
      </c>
      <c r="F7">
        <v>91</v>
      </c>
      <c r="G7">
        <v>140.13</v>
      </c>
      <c r="H7">
        <v>12761</v>
      </c>
      <c r="I7" t="s">
        <v>26</v>
      </c>
      <c r="J7" t="s">
        <v>26</v>
      </c>
      <c r="K7" t="s">
        <v>27</v>
      </c>
    </row>
    <row r="8" spans="1:11" x14ac:dyDescent="0.25">
      <c r="A8" t="s">
        <v>21</v>
      </c>
      <c r="B8" t="s">
        <v>23</v>
      </c>
      <c r="C8">
        <v>50</v>
      </c>
      <c r="D8" t="s">
        <v>24</v>
      </c>
      <c r="E8" s="3">
        <v>44487</v>
      </c>
      <c r="F8">
        <v>93</v>
      </c>
      <c r="G8">
        <v>136.30000000000001</v>
      </c>
      <c r="H8">
        <v>12685</v>
      </c>
      <c r="I8" t="s">
        <v>26</v>
      </c>
      <c r="J8" t="s">
        <v>26</v>
      </c>
      <c r="K8" t="s">
        <v>27</v>
      </c>
    </row>
    <row r="9" spans="1:11" x14ac:dyDescent="0.25">
      <c r="A9" t="s">
        <v>21</v>
      </c>
      <c r="B9" t="s">
        <v>23</v>
      </c>
      <c r="C9">
        <v>50</v>
      </c>
      <c r="D9" t="s">
        <v>24</v>
      </c>
      <c r="E9" s="3">
        <v>44516</v>
      </c>
      <c r="F9">
        <v>90</v>
      </c>
      <c r="G9">
        <v>141.22999999999999</v>
      </c>
      <c r="H9">
        <v>12720</v>
      </c>
      <c r="I9" t="s">
        <v>26</v>
      </c>
      <c r="J9" t="s">
        <v>26</v>
      </c>
      <c r="K9" t="s">
        <v>27</v>
      </c>
    </row>
    <row r="10" spans="1:11" x14ac:dyDescent="0.25">
      <c r="A10" t="s">
        <v>21</v>
      </c>
      <c r="B10" t="s">
        <v>23</v>
      </c>
      <c r="C10">
        <v>56</v>
      </c>
      <c r="D10" t="s">
        <v>28</v>
      </c>
      <c r="E10" s="3">
        <v>43903</v>
      </c>
      <c r="F10">
        <v>1000</v>
      </c>
      <c r="G10">
        <v>24.16</v>
      </c>
      <c r="H10">
        <v>24180</v>
      </c>
      <c r="I10" t="s">
        <v>26</v>
      </c>
      <c r="J10" t="s">
        <v>26</v>
      </c>
      <c r="K10" t="s">
        <v>27</v>
      </c>
    </row>
    <row r="11" spans="1:11" x14ac:dyDescent="0.25">
      <c r="A11" t="s">
        <v>21</v>
      </c>
      <c r="B11" t="s">
        <v>23</v>
      </c>
      <c r="C11">
        <v>56</v>
      </c>
      <c r="D11" t="s">
        <v>28</v>
      </c>
      <c r="E11" s="3">
        <v>43906</v>
      </c>
      <c r="F11">
        <v>199</v>
      </c>
      <c r="G11">
        <v>24.71</v>
      </c>
      <c r="H11">
        <v>4937</v>
      </c>
      <c r="I11" t="s">
        <v>26</v>
      </c>
      <c r="J11" t="s">
        <v>26</v>
      </c>
      <c r="K11" t="s">
        <v>27</v>
      </c>
    </row>
    <row r="12" spans="1:11" x14ac:dyDescent="0.25">
      <c r="A12" t="s">
        <v>21</v>
      </c>
      <c r="B12" t="s">
        <v>23</v>
      </c>
      <c r="C12">
        <v>56</v>
      </c>
      <c r="D12" t="s">
        <v>28</v>
      </c>
      <c r="E12" s="3">
        <v>43937</v>
      </c>
      <c r="F12">
        <v>112</v>
      </c>
      <c r="G12">
        <v>26.43</v>
      </c>
      <c r="H12">
        <v>2980</v>
      </c>
      <c r="I12" t="s">
        <v>26</v>
      </c>
      <c r="J12" t="s">
        <v>26</v>
      </c>
      <c r="K12" t="s">
        <v>27</v>
      </c>
    </row>
    <row r="13" spans="1:11" x14ac:dyDescent="0.25">
      <c r="A13" t="s">
        <v>21</v>
      </c>
      <c r="B13" t="s">
        <v>23</v>
      </c>
      <c r="C13">
        <v>56</v>
      </c>
      <c r="D13" t="s">
        <v>28</v>
      </c>
      <c r="E13" s="3">
        <v>43969</v>
      </c>
      <c r="F13">
        <v>108</v>
      </c>
      <c r="G13">
        <v>27.26</v>
      </c>
      <c r="H13">
        <v>2964</v>
      </c>
      <c r="I13" t="s">
        <v>26</v>
      </c>
      <c r="J13" t="s">
        <v>26</v>
      </c>
      <c r="K13" t="s">
        <v>27</v>
      </c>
    </row>
    <row r="14" spans="1:11" x14ac:dyDescent="0.25">
      <c r="A14" t="s">
        <v>21</v>
      </c>
      <c r="B14" t="s">
        <v>23</v>
      </c>
      <c r="C14">
        <v>56</v>
      </c>
      <c r="D14" t="s">
        <v>28</v>
      </c>
      <c r="E14" s="3">
        <v>43998</v>
      </c>
      <c r="F14">
        <v>104</v>
      </c>
      <c r="G14">
        <v>28.39</v>
      </c>
      <c r="H14">
        <v>2972</v>
      </c>
      <c r="I14" t="s">
        <v>26</v>
      </c>
      <c r="J14" t="s">
        <v>26</v>
      </c>
      <c r="K14" t="s">
        <v>27</v>
      </c>
    </row>
    <row r="15" spans="1:11" x14ac:dyDescent="0.25">
      <c r="A15" t="s">
        <v>21</v>
      </c>
      <c r="B15" t="s">
        <v>23</v>
      </c>
      <c r="C15">
        <v>56</v>
      </c>
      <c r="D15" t="s">
        <v>28</v>
      </c>
      <c r="E15" s="3">
        <v>44028</v>
      </c>
      <c r="F15">
        <v>100</v>
      </c>
      <c r="G15">
        <v>29.66</v>
      </c>
      <c r="H15">
        <v>2986</v>
      </c>
      <c r="I15" t="s">
        <v>26</v>
      </c>
      <c r="J15" t="s">
        <v>26</v>
      </c>
      <c r="K15" t="s">
        <v>27</v>
      </c>
    </row>
    <row r="16" spans="1:11" x14ac:dyDescent="0.25">
      <c r="A16" t="s">
        <v>21</v>
      </c>
      <c r="B16" t="s">
        <v>23</v>
      </c>
      <c r="C16">
        <v>56</v>
      </c>
      <c r="D16" t="s">
        <v>28</v>
      </c>
      <c r="E16" s="3">
        <v>44060</v>
      </c>
      <c r="F16">
        <v>96</v>
      </c>
      <c r="G16">
        <v>30.94</v>
      </c>
      <c r="H16">
        <v>2990</v>
      </c>
      <c r="I16" t="s">
        <v>26</v>
      </c>
      <c r="J16" t="s">
        <v>26</v>
      </c>
      <c r="K16" t="s">
        <v>27</v>
      </c>
    </row>
    <row r="17" spans="1:11" x14ac:dyDescent="0.25">
      <c r="A17" t="s">
        <v>21</v>
      </c>
      <c r="B17" t="s">
        <v>23</v>
      </c>
      <c r="C17">
        <v>56</v>
      </c>
      <c r="D17" t="s">
        <v>28</v>
      </c>
      <c r="E17" s="3">
        <v>44090</v>
      </c>
      <c r="F17">
        <v>98</v>
      </c>
      <c r="G17">
        <v>30.25</v>
      </c>
      <c r="H17">
        <v>2984</v>
      </c>
      <c r="I17" t="s">
        <v>26</v>
      </c>
      <c r="J17" t="s">
        <v>26</v>
      </c>
      <c r="K17" t="s">
        <v>27</v>
      </c>
    </row>
    <row r="18" spans="1:11" x14ac:dyDescent="0.25">
      <c r="A18" t="s">
        <v>21</v>
      </c>
      <c r="B18" t="s">
        <v>23</v>
      </c>
      <c r="C18">
        <v>56</v>
      </c>
      <c r="D18" t="s">
        <v>28</v>
      </c>
      <c r="E18" s="3">
        <v>44120</v>
      </c>
      <c r="F18">
        <v>100</v>
      </c>
      <c r="G18">
        <v>29.61</v>
      </c>
      <c r="H18">
        <v>2981</v>
      </c>
      <c r="I18" t="s">
        <v>26</v>
      </c>
      <c r="J18" t="s">
        <v>26</v>
      </c>
      <c r="K18" t="s">
        <v>27</v>
      </c>
    </row>
    <row r="19" spans="1:11" x14ac:dyDescent="0.25">
      <c r="A19" t="s">
        <v>21</v>
      </c>
      <c r="B19" t="s">
        <v>23</v>
      </c>
      <c r="C19">
        <v>56</v>
      </c>
      <c r="D19" t="s">
        <v>28</v>
      </c>
      <c r="E19" s="3">
        <v>44151</v>
      </c>
      <c r="F19">
        <v>103</v>
      </c>
      <c r="G19">
        <v>28.79</v>
      </c>
      <c r="H19">
        <v>2967</v>
      </c>
      <c r="I19" t="s">
        <v>26</v>
      </c>
      <c r="J19" t="s">
        <v>26</v>
      </c>
      <c r="K19" t="s">
        <v>27</v>
      </c>
    </row>
    <row r="20" spans="1:11" x14ac:dyDescent="0.25">
      <c r="A20" t="s">
        <v>21</v>
      </c>
      <c r="B20" t="s">
        <v>23</v>
      </c>
      <c r="C20">
        <v>56</v>
      </c>
      <c r="D20" t="s">
        <v>28</v>
      </c>
      <c r="E20" s="3">
        <v>44181</v>
      </c>
      <c r="F20">
        <v>100</v>
      </c>
      <c r="G20">
        <v>29.66</v>
      </c>
      <c r="H20">
        <v>2968</v>
      </c>
      <c r="I20" t="s">
        <v>26</v>
      </c>
      <c r="J20" t="s">
        <v>26</v>
      </c>
      <c r="K20" t="s">
        <v>27</v>
      </c>
    </row>
    <row r="21" spans="1:11" x14ac:dyDescent="0.25">
      <c r="A21" t="s">
        <v>21</v>
      </c>
      <c r="B21" t="s">
        <v>23</v>
      </c>
      <c r="C21">
        <v>56</v>
      </c>
      <c r="D21" t="s">
        <v>28</v>
      </c>
      <c r="E21" s="3">
        <v>44214</v>
      </c>
      <c r="F21">
        <v>97</v>
      </c>
      <c r="G21">
        <v>30.53</v>
      </c>
      <c r="H21">
        <v>2963</v>
      </c>
      <c r="I21" t="s">
        <v>26</v>
      </c>
      <c r="J21" t="s">
        <v>26</v>
      </c>
      <c r="K21" t="s">
        <v>27</v>
      </c>
    </row>
    <row r="22" spans="1:11" x14ac:dyDescent="0.25">
      <c r="A22" t="s">
        <v>21</v>
      </c>
      <c r="B22" t="s">
        <v>23</v>
      </c>
      <c r="C22">
        <v>56</v>
      </c>
      <c r="D22" t="s">
        <v>28</v>
      </c>
      <c r="E22" s="3">
        <v>44244</v>
      </c>
      <c r="F22">
        <v>96</v>
      </c>
      <c r="G22">
        <v>30.94</v>
      </c>
      <c r="H22">
        <v>2972</v>
      </c>
      <c r="I22" t="s">
        <v>26</v>
      </c>
      <c r="J22" t="s">
        <v>26</v>
      </c>
      <c r="K22" t="s">
        <v>27</v>
      </c>
    </row>
    <row r="23" spans="1:11" x14ac:dyDescent="0.25">
      <c r="A23" t="s">
        <v>21</v>
      </c>
      <c r="B23" t="s">
        <v>23</v>
      </c>
      <c r="C23">
        <v>56</v>
      </c>
      <c r="D23" t="s">
        <v>28</v>
      </c>
      <c r="E23" s="3">
        <v>44263</v>
      </c>
      <c r="F23">
        <v>155</v>
      </c>
      <c r="G23">
        <v>31.96</v>
      </c>
      <c r="H23">
        <v>4957</v>
      </c>
      <c r="I23" t="s">
        <v>26</v>
      </c>
      <c r="J23" t="s">
        <v>26</v>
      </c>
      <c r="K23" t="s">
        <v>27</v>
      </c>
    </row>
    <row r="24" spans="1:11" x14ac:dyDescent="0.25">
      <c r="A24" t="s">
        <v>21</v>
      </c>
      <c r="B24" t="s">
        <v>23</v>
      </c>
      <c r="C24">
        <v>56</v>
      </c>
      <c r="D24" t="s">
        <v>28</v>
      </c>
      <c r="E24" s="3">
        <v>44292</v>
      </c>
      <c r="F24">
        <v>142</v>
      </c>
      <c r="G24">
        <v>34.770000000000003</v>
      </c>
      <c r="H24">
        <v>4941</v>
      </c>
      <c r="I24" t="s">
        <v>26</v>
      </c>
      <c r="J24" t="s">
        <v>26</v>
      </c>
      <c r="K24" t="s">
        <v>27</v>
      </c>
    </row>
    <row r="25" spans="1:11" x14ac:dyDescent="0.25">
      <c r="A25" t="s">
        <v>21</v>
      </c>
      <c r="B25" t="s">
        <v>23</v>
      </c>
      <c r="C25">
        <v>56</v>
      </c>
      <c r="D25" t="s">
        <v>28</v>
      </c>
      <c r="E25" s="3">
        <v>44322</v>
      </c>
      <c r="F25">
        <v>140</v>
      </c>
      <c r="G25">
        <v>35.31</v>
      </c>
      <c r="H25">
        <v>4947</v>
      </c>
      <c r="I25" t="s">
        <v>26</v>
      </c>
      <c r="J25" t="s">
        <v>26</v>
      </c>
      <c r="K25" t="s">
        <v>27</v>
      </c>
    </row>
    <row r="26" spans="1:11" x14ac:dyDescent="0.25">
      <c r="A26" t="s">
        <v>21</v>
      </c>
      <c r="B26" t="s">
        <v>23</v>
      </c>
      <c r="C26">
        <v>56</v>
      </c>
      <c r="D26" t="s">
        <v>28</v>
      </c>
      <c r="E26" s="3">
        <v>44354</v>
      </c>
      <c r="F26">
        <v>142</v>
      </c>
      <c r="G26">
        <v>34.6</v>
      </c>
      <c r="H26">
        <v>4917</v>
      </c>
      <c r="I26" t="s">
        <v>26</v>
      </c>
      <c r="J26" t="s">
        <v>26</v>
      </c>
      <c r="K26" t="s">
        <v>27</v>
      </c>
    </row>
    <row r="27" spans="1:11" x14ac:dyDescent="0.25">
      <c r="A27" t="s">
        <v>21</v>
      </c>
      <c r="B27" t="s">
        <v>23</v>
      </c>
      <c r="C27">
        <v>56</v>
      </c>
      <c r="D27" t="s">
        <v>28</v>
      </c>
      <c r="E27" s="3">
        <v>44383</v>
      </c>
      <c r="F27">
        <v>137</v>
      </c>
      <c r="G27">
        <v>35.950000000000003</v>
      </c>
      <c r="H27">
        <v>4929</v>
      </c>
      <c r="I27" t="s">
        <v>26</v>
      </c>
      <c r="J27" t="s">
        <v>26</v>
      </c>
      <c r="K27" t="s">
        <v>27</v>
      </c>
    </row>
    <row r="28" spans="1:11" x14ac:dyDescent="0.25">
      <c r="A28" t="s">
        <v>21</v>
      </c>
      <c r="B28" t="s">
        <v>23</v>
      </c>
      <c r="C28">
        <v>56</v>
      </c>
      <c r="D28" t="s">
        <v>28</v>
      </c>
      <c r="E28" s="3">
        <v>44414</v>
      </c>
      <c r="F28">
        <v>144</v>
      </c>
      <c r="G28">
        <v>34.200000000000003</v>
      </c>
      <c r="H28">
        <v>4928</v>
      </c>
      <c r="I28" t="s">
        <v>26</v>
      </c>
      <c r="J28" t="s">
        <v>26</v>
      </c>
      <c r="K28" t="s">
        <v>27</v>
      </c>
    </row>
    <row r="29" spans="1:11" x14ac:dyDescent="0.25">
      <c r="A29" t="s">
        <v>21</v>
      </c>
      <c r="B29" t="s">
        <v>23</v>
      </c>
      <c r="C29">
        <v>56</v>
      </c>
      <c r="D29" t="s">
        <v>28</v>
      </c>
      <c r="E29" s="3">
        <v>44455</v>
      </c>
      <c r="F29">
        <v>148</v>
      </c>
      <c r="G29">
        <v>33.26</v>
      </c>
      <c r="H29">
        <v>4926</v>
      </c>
      <c r="I29" t="s">
        <v>26</v>
      </c>
      <c r="J29" t="s">
        <v>26</v>
      </c>
      <c r="K29" t="s">
        <v>27</v>
      </c>
    </row>
    <row r="30" spans="1:11" x14ac:dyDescent="0.25">
      <c r="A30" t="s">
        <v>21</v>
      </c>
      <c r="B30" t="s">
        <v>23</v>
      </c>
      <c r="C30">
        <v>56</v>
      </c>
      <c r="D30" t="s">
        <v>28</v>
      </c>
      <c r="E30" s="3">
        <v>44487</v>
      </c>
      <c r="F30">
        <v>152</v>
      </c>
      <c r="G30">
        <v>32.340000000000003</v>
      </c>
      <c r="H30">
        <v>4919</v>
      </c>
      <c r="I30" t="s">
        <v>26</v>
      </c>
      <c r="J30" t="s">
        <v>26</v>
      </c>
      <c r="K30" t="s">
        <v>27</v>
      </c>
    </row>
    <row r="31" spans="1:11" x14ac:dyDescent="0.25">
      <c r="A31" t="s">
        <v>21</v>
      </c>
      <c r="B31" t="s">
        <v>23</v>
      </c>
      <c r="C31">
        <v>56</v>
      </c>
      <c r="D31" t="s">
        <v>28</v>
      </c>
      <c r="E31" s="3">
        <v>44516</v>
      </c>
      <c r="F31">
        <v>152</v>
      </c>
      <c r="G31">
        <v>32.49</v>
      </c>
      <c r="H31">
        <v>4942</v>
      </c>
      <c r="I31" t="s">
        <v>26</v>
      </c>
      <c r="J31" t="s">
        <v>26</v>
      </c>
      <c r="K31" t="s">
        <v>27</v>
      </c>
    </row>
    <row r="32" spans="1:11" x14ac:dyDescent="0.25">
      <c r="A32" t="s">
        <v>21</v>
      </c>
      <c r="B32" t="s">
        <v>23</v>
      </c>
      <c r="C32">
        <v>56</v>
      </c>
      <c r="D32" t="s">
        <v>28</v>
      </c>
      <c r="E32" s="3">
        <v>44853</v>
      </c>
      <c r="F32">
        <v>1000</v>
      </c>
      <c r="G32">
        <v>23.96</v>
      </c>
      <c r="H32">
        <v>23980</v>
      </c>
      <c r="I32" t="s">
        <v>26</v>
      </c>
      <c r="J32" t="s">
        <v>26</v>
      </c>
      <c r="K32" t="s">
        <v>27</v>
      </c>
    </row>
    <row r="33" spans="1:11" x14ac:dyDescent="0.25">
      <c r="A33" t="s">
        <v>21</v>
      </c>
      <c r="B33" t="s">
        <v>23</v>
      </c>
      <c r="C33" t="s">
        <v>29</v>
      </c>
      <c r="D33" t="s">
        <v>30</v>
      </c>
      <c r="E33" s="3">
        <v>43523</v>
      </c>
      <c r="F33">
        <v>4000</v>
      </c>
      <c r="G33">
        <v>0</v>
      </c>
      <c r="H33">
        <v>0</v>
      </c>
      <c r="I33" t="s">
        <v>26</v>
      </c>
      <c r="J33" t="s">
        <v>26</v>
      </c>
      <c r="K33" t="s">
        <v>27</v>
      </c>
    </row>
    <row r="34" spans="1:11" x14ac:dyDescent="0.25">
      <c r="A34" t="s">
        <v>21</v>
      </c>
      <c r="B34" t="s">
        <v>23</v>
      </c>
      <c r="C34">
        <v>713</v>
      </c>
      <c r="D34" t="s">
        <v>32</v>
      </c>
      <c r="E34" s="3">
        <v>45112</v>
      </c>
      <c r="F34">
        <v>1000</v>
      </c>
      <c r="G34">
        <v>45.88</v>
      </c>
      <c r="H34">
        <v>45919</v>
      </c>
      <c r="I34" t="s">
        <v>26</v>
      </c>
      <c r="J34" t="s">
        <v>26</v>
      </c>
      <c r="K34" t="s">
        <v>27</v>
      </c>
    </row>
    <row r="35" spans="1:11" x14ac:dyDescent="0.25">
      <c r="A35" t="s">
        <v>21</v>
      </c>
      <c r="B35" t="s">
        <v>23</v>
      </c>
      <c r="C35">
        <v>713</v>
      </c>
      <c r="D35" t="s">
        <v>32</v>
      </c>
      <c r="E35" s="3">
        <v>45114</v>
      </c>
      <c r="F35">
        <v>1000</v>
      </c>
      <c r="G35">
        <v>45.07</v>
      </c>
      <c r="H35">
        <v>45108</v>
      </c>
      <c r="I35" t="s">
        <v>26</v>
      </c>
      <c r="J35" t="s">
        <v>26</v>
      </c>
      <c r="K35" t="s">
        <v>27</v>
      </c>
    </row>
    <row r="36" spans="1:11" x14ac:dyDescent="0.25">
      <c r="A36" t="s">
        <v>21</v>
      </c>
      <c r="B36" t="s">
        <v>23</v>
      </c>
      <c r="C36">
        <v>713</v>
      </c>
      <c r="D36" t="s">
        <v>32</v>
      </c>
      <c r="E36" s="3">
        <v>45187</v>
      </c>
      <c r="F36">
        <v>1000</v>
      </c>
      <c r="G36">
        <v>47.85</v>
      </c>
      <c r="H36">
        <v>47890</v>
      </c>
      <c r="I36" t="s">
        <v>26</v>
      </c>
      <c r="J36" t="s">
        <v>26</v>
      </c>
      <c r="K36" t="s">
        <v>27</v>
      </c>
    </row>
    <row r="37" spans="1:11" x14ac:dyDescent="0.25">
      <c r="A37" t="s">
        <v>21</v>
      </c>
      <c r="B37" t="s">
        <v>23</v>
      </c>
      <c r="C37">
        <v>878</v>
      </c>
      <c r="D37" t="s">
        <v>33</v>
      </c>
      <c r="E37" s="3">
        <v>44414</v>
      </c>
      <c r="F37">
        <v>1000</v>
      </c>
      <c r="G37">
        <v>18.559999999999999</v>
      </c>
      <c r="H37">
        <v>18580</v>
      </c>
      <c r="I37" t="s">
        <v>26</v>
      </c>
      <c r="J37" t="s">
        <v>26</v>
      </c>
      <c r="K37" t="s">
        <v>27</v>
      </c>
    </row>
    <row r="38" spans="1:11" x14ac:dyDescent="0.25">
      <c r="A38" t="s">
        <v>21</v>
      </c>
      <c r="B38" t="s">
        <v>23</v>
      </c>
      <c r="C38">
        <v>878</v>
      </c>
      <c r="D38" t="s">
        <v>33</v>
      </c>
      <c r="E38" s="3">
        <v>44414</v>
      </c>
      <c r="F38">
        <v>2000</v>
      </c>
      <c r="G38">
        <v>18.559999999999999</v>
      </c>
      <c r="H38">
        <v>37151</v>
      </c>
      <c r="I38" t="s">
        <v>26</v>
      </c>
      <c r="J38" t="s">
        <v>26</v>
      </c>
      <c r="K38" t="s">
        <v>27</v>
      </c>
    </row>
    <row r="39" spans="1:11" x14ac:dyDescent="0.25">
      <c r="A39" t="s">
        <v>21</v>
      </c>
      <c r="B39" t="s">
        <v>23</v>
      </c>
      <c r="C39">
        <v>878</v>
      </c>
      <c r="D39" t="s">
        <v>33</v>
      </c>
      <c r="E39" s="3">
        <v>44425</v>
      </c>
      <c r="F39">
        <v>1000</v>
      </c>
      <c r="G39">
        <v>17.77</v>
      </c>
      <c r="H39">
        <v>17790</v>
      </c>
      <c r="I39" t="s">
        <v>26</v>
      </c>
      <c r="J39" t="s">
        <v>26</v>
      </c>
      <c r="K39" t="s">
        <v>27</v>
      </c>
    </row>
    <row r="40" spans="1:11" x14ac:dyDescent="0.25">
      <c r="A40" t="s">
        <v>21</v>
      </c>
      <c r="B40" t="s">
        <v>23</v>
      </c>
      <c r="C40">
        <v>878</v>
      </c>
      <c r="D40" t="s">
        <v>33</v>
      </c>
      <c r="E40" s="3">
        <v>44475</v>
      </c>
      <c r="F40">
        <v>1000</v>
      </c>
      <c r="G40">
        <v>17.940000000000001</v>
      </c>
      <c r="H40">
        <v>17960</v>
      </c>
      <c r="I40" t="s">
        <v>26</v>
      </c>
      <c r="J40" t="s">
        <v>26</v>
      </c>
      <c r="K40" t="s">
        <v>27</v>
      </c>
    </row>
    <row r="41" spans="1:11" x14ac:dyDescent="0.25">
      <c r="A41" t="s">
        <v>21</v>
      </c>
      <c r="B41" t="s">
        <v>23</v>
      </c>
      <c r="C41">
        <v>878</v>
      </c>
      <c r="D41" t="s">
        <v>33</v>
      </c>
      <c r="E41" s="3">
        <v>44820</v>
      </c>
      <c r="F41">
        <v>100</v>
      </c>
      <c r="G41">
        <v>16.93</v>
      </c>
      <c r="H41">
        <v>1694</v>
      </c>
      <c r="I41" t="s">
        <v>26</v>
      </c>
      <c r="J41" t="s">
        <v>26</v>
      </c>
      <c r="K41" t="s">
        <v>27</v>
      </c>
    </row>
    <row r="42" spans="1:11" x14ac:dyDescent="0.25">
      <c r="A42" t="s">
        <v>21</v>
      </c>
      <c r="B42" t="s">
        <v>23</v>
      </c>
      <c r="C42">
        <v>878</v>
      </c>
      <c r="D42" t="s">
        <v>33</v>
      </c>
      <c r="E42" s="3">
        <v>44853</v>
      </c>
      <c r="F42">
        <v>1000</v>
      </c>
      <c r="G42">
        <v>15.7</v>
      </c>
      <c r="H42">
        <v>15720</v>
      </c>
      <c r="I42" t="s">
        <v>26</v>
      </c>
      <c r="J42" t="s">
        <v>26</v>
      </c>
      <c r="K42" t="s">
        <v>27</v>
      </c>
    </row>
    <row r="43" spans="1:11" x14ac:dyDescent="0.25">
      <c r="A43" t="s">
        <v>21</v>
      </c>
      <c r="B43" t="s">
        <v>23</v>
      </c>
      <c r="C43">
        <v>878</v>
      </c>
      <c r="D43" t="s">
        <v>33</v>
      </c>
      <c r="E43" s="3">
        <v>45050</v>
      </c>
      <c r="F43">
        <v>1000</v>
      </c>
      <c r="G43">
        <v>17.670000000000002</v>
      </c>
      <c r="H43">
        <v>17690</v>
      </c>
      <c r="I43" t="s">
        <v>26</v>
      </c>
      <c r="J43" t="s">
        <v>26</v>
      </c>
      <c r="K43" t="s">
        <v>27</v>
      </c>
    </row>
    <row r="44" spans="1:11" x14ac:dyDescent="0.25">
      <c r="A44" t="s">
        <v>21</v>
      </c>
      <c r="B44" t="s">
        <v>23</v>
      </c>
      <c r="C44">
        <v>878</v>
      </c>
      <c r="D44" t="s">
        <v>33</v>
      </c>
      <c r="E44" s="3">
        <v>45191</v>
      </c>
      <c r="F44">
        <v>1000</v>
      </c>
      <c r="G44">
        <v>20.04</v>
      </c>
      <c r="H44">
        <v>20060</v>
      </c>
      <c r="I44" t="s">
        <v>26</v>
      </c>
      <c r="J44" t="s">
        <v>26</v>
      </c>
      <c r="K44" t="s">
        <v>27</v>
      </c>
    </row>
    <row r="45" spans="1:11" x14ac:dyDescent="0.25">
      <c r="A45" t="s">
        <v>21</v>
      </c>
      <c r="B45" t="s">
        <v>23</v>
      </c>
      <c r="C45">
        <v>878</v>
      </c>
      <c r="D45" t="s">
        <v>33</v>
      </c>
      <c r="E45" s="3">
        <v>45219</v>
      </c>
      <c r="F45">
        <v>1000</v>
      </c>
      <c r="G45">
        <v>19.79</v>
      </c>
      <c r="H45">
        <v>19810</v>
      </c>
      <c r="I45" t="s">
        <v>26</v>
      </c>
      <c r="J45" t="s">
        <v>26</v>
      </c>
      <c r="K45" t="s">
        <v>27</v>
      </c>
    </row>
    <row r="46" spans="1:11" x14ac:dyDescent="0.25">
      <c r="A46" t="s">
        <v>21</v>
      </c>
      <c r="B46" t="s">
        <v>23</v>
      </c>
      <c r="C46">
        <v>878</v>
      </c>
      <c r="D46" t="s">
        <v>33</v>
      </c>
      <c r="E46" s="3">
        <v>45225</v>
      </c>
      <c r="F46">
        <v>1000</v>
      </c>
      <c r="G46">
        <v>19.59</v>
      </c>
      <c r="H46">
        <v>19610</v>
      </c>
      <c r="I46" t="s">
        <v>26</v>
      </c>
      <c r="J46" t="s">
        <v>26</v>
      </c>
      <c r="K46" t="s">
        <v>27</v>
      </c>
    </row>
    <row r="47" spans="1:11" x14ac:dyDescent="0.25">
      <c r="A47" t="s">
        <v>21</v>
      </c>
      <c r="B47" t="s">
        <v>23</v>
      </c>
      <c r="C47">
        <v>878</v>
      </c>
      <c r="D47" t="s">
        <v>33</v>
      </c>
      <c r="E47" s="3">
        <v>45252</v>
      </c>
      <c r="F47">
        <v>1000</v>
      </c>
      <c r="G47">
        <v>20.53</v>
      </c>
      <c r="H47">
        <v>20550</v>
      </c>
      <c r="I47" t="s">
        <v>26</v>
      </c>
      <c r="J47" t="s">
        <v>26</v>
      </c>
      <c r="K47" t="s">
        <v>27</v>
      </c>
    </row>
    <row r="48" spans="1:11" x14ac:dyDescent="0.25">
      <c r="A48" t="s">
        <v>21</v>
      </c>
      <c r="B48" t="s">
        <v>23</v>
      </c>
      <c r="C48">
        <v>882</v>
      </c>
      <c r="D48" t="s">
        <v>34</v>
      </c>
      <c r="E48" s="3">
        <v>45180</v>
      </c>
      <c r="F48">
        <v>5000</v>
      </c>
      <c r="G48">
        <v>10.92</v>
      </c>
      <c r="H48">
        <v>54646</v>
      </c>
      <c r="I48" t="s">
        <v>26</v>
      </c>
      <c r="J48" t="s">
        <v>26</v>
      </c>
      <c r="K48" t="s">
        <v>27</v>
      </c>
    </row>
    <row r="49" spans="1:11" x14ac:dyDescent="0.25">
      <c r="A49" t="s">
        <v>21</v>
      </c>
      <c r="B49" t="s">
        <v>23</v>
      </c>
      <c r="C49">
        <v>882</v>
      </c>
      <c r="D49" t="s">
        <v>34</v>
      </c>
      <c r="E49" s="3">
        <v>45184</v>
      </c>
      <c r="F49">
        <v>2000</v>
      </c>
      <c r="G49">
        <v>10.93</v>
      </c>
      <c r="H49">
        <v>21880</v>
      </c>
      <c r="I49" t="s">
        <v>26</v>
      </c>
      <c r="J49" t="s">
        <v>26</v>
      </c>
      <c r="K49" t="s">
        <v>27</v>
      </c>
    </row>
    <row r="50" spans="1:11" x14ac:dyDescent="0.25">
      <c r="A50" t="s">
        <v>21</v>
      </c>
      <c r="B50" t="s">
        <v>23</v>
      </c>
      <c r="C50">
        <v>882</v>
      </c>
      <c r="D50" t="s">
        <v>34</v>
      </c>
      <c r="E50" s="3">
        <v>45205</v>
      </c>
      <c r="F50">
        <v>5000</v>
      </c>
      <c r="G50">
        <v>10.67</v>
      </c>
      <c r="H50">
        <v>53395</v>
      </c>
      <c r="I50" t="s">
        <v>26</v>
      </c>
      <c r="J50" t="s">
        <v>26</v>
      </c>
      <c r="K50" t="s">
        <v>27</v>
      </c>
    </row>
    <row r="51" spans="1:11" x14ac:dyDescent="0.25">
      <c r="A51" t="s">
        <v>21</v>
      </c>
      <c r="B51" t="s">
        <v>23</v>
      </c>
      <c r="C51">
        <v>882</v>
      </c>
      <c r="D51" t="s">
        <v>34</v>
      </c>
      <c r="E51" s="3">
        <v>45211</v>
      </c>
      <c r="F51">
        <v>1000</v>
      </c>
      <c r="G51">
        <v>10.93</v>
      </c>
      <c r="H51">
        <v>10950</v>
      </c>
      <c r="I51" t="s">
        <v>26</v>
      </c>
      <c r="J51" t="s">
        <v>26</v>
      </c>
      <c r="K51" t="s">
        <v>27</v>
      </c>
    </row>
    <row r="52" spans="1:11" x14ac:dyDescent="0.25">
      <c r="A52" t="s">
        <v>21</v>
      </c>
      <c r="B52" t="s">
        <v>23</v>
      </c>
      <c r="C52">
        <v>882</v>
      </c>
      <c r="D52" t="s">
        <v>34</v>
      </c>
      <c r="E52" s="3">
        <v>45252</v>
      </c>
      <c r="F52">
        <v>3000</v>
      </c>
      <c r="G52">
        <v>10.65</v>
      </c>
      <c r="H52">
        <v>31977</v>
      </c>
      <c r="I52" t="s">
        <v>26</v>
      </c>
      <c r="J52" t="s">
        <v>26</v>
      </c>
      <c r="K52" t="s">
        <v>27</v>
      </c>
    </row>
    <row r="53" spans="1:11" x14ac:dyDescent="0.25">
      <c r="A53" t="s">
        <v>21</v>
      </c>
      <c r="B53" t="s">
        <v>23</v>
      </c>
      <c r="C53">
        <v>882</v>
      </c>
      <c r="D53" t="s">
        <v>34</v>
      </c>
      <c r="E53" s="3">
        <v>45259</v>
      </c>
      <c r="F53">
        <v>3000</v>
      </c>
      <c r="G53">
        <v>10.47</v>
      </c>
      <c r="H53">
        <v>31436</v>
      </c>
      <c r="I53" t="s">
        <v>26</v>
      </c>
      <c r="J53" t="s">
        <v>26</v>
      </c>
      <c r="K53" t="s">
        <v>27</v>
      </c>
    </row>
    <row r="54" spans="1:11" x14ac:dyDescent="0.25">
      <c r="A54" t="s">
        <v>21</v>
      </c>
      <c r="B54" t="s">
        <v>23</v>
      </c>
      <c r="C54">
        <v>882</v>
      </c>
      <c r="D54" t="s">
        <v>34</v>
      </c>
      <c r="E54" s="3">
        <v>45260</v>
      </c>
      <c r="F54">
        <v>1000</v>
      </c>
      <c r="G54">
        <v>10.39</v>
      </c>
      <c r="H54">
        <v>10410</v>
      </c>
      <c r="I54" t="s">
        <v>26</v>
      </c>
      <c r="J54" t="s">
        <v>26</v>
      </c>
      <c r="K54" t="s">
        <v>27</v>
      </c>
    </row>
    <row r="55" spans="1:11" x14ac:dyDescent="0.25">
      <c r="A55" t="s">
        <v>21</v>
      </c>
      <c r="B55" t="s">
        <v>23</v>
      </c>
      <c r="C55">
        <v>882</v>
      </c>
      <c r="D55" t="s">
        <v>34</v>
      </c>
      <c r="E55" s="3">
        <v>45273</v>
      </c>
      <c r="F55">
        <v>2000</v>
      </c>
      <c r="G55">
        <v>10.27</v>
      </c>
      <c r="H55">
        <v>20560</v>
      </c>
      <c r="I55" t="s">
        <v>26</v>
      </c>
      <c r="J55" t="s">
        <v>26</v>
      </c>
      <c r="K55" t="s">
        <v>27</v>
      </c>
    </row>
    <row r="56" spans="1:11" x14ac:dyDescent="0.25">
      <c r="A56" t="s">
        <v>21</v>
      </c>
      <c r="B56" t="s">
        <v>23</v>
      </c>
      <c r="C56">
        <v>882</v>
      </c>
      <c r="D56" t="s">
        <v>34</v>
      </c>
      <c r="E56" s="3">
        <v>45274</v>
      </c>
      <c r="F56">
        <v>1000</v>
      </c>
      <c r="G56">
        <v>10.130000000000001</v>
      </c>
      <c r="H56">
        <v>10150</v>
      </c>
      <c r="I56" t="s">
        <v>26</v>
      </c>
      <c r="J56" t="s">
        <v>26</v>
      </c>
      <c r="K56" t="s">
        <v>27</v>
      </c>
    </row>
    <row r="57" spans="1:11" x14ac:dyDescent="0.25">
      <c r="A57" t="s">
        <v>21</v>
      </c>
      <c r="B57" t="s">
        <v>23</v>
      </c>
      <c r="C57">
        <v>882</v>
      </c>
      <c r="D57" t="s">
        <v>34</v>
      </c>
      <c r="E57" s="3">
        <v>45302</v>
      </c>
      <c r="F57">
        <v>1000</v>
      </c>
      <c r="G57">
        <v>10.26</v>
      </c>
      <c r="H57">
        <v>10280</v>
      </c>
      <c r="I57" t="s">
        <v>26</v>
      </c>
      <c r="J57" t="s">
        <v>26</v>
      </c>
      <c r="K57" t="s">
        <v>27</v>
      </c>
    </row>
    <row r="58" spans="1:11" x14ac:dyDescent="0.25">
      <c r="A58" t="s">
        <v>21</v>
      </c>
      <c r="B58" t="s">
        <v>23</v>
      </c>
      <c r="C58">
        <v>882</v>
      </c>
      <c r="D58" t="s">
        <v>34</v>
      </c>
      <c r="E58" s="3">
        <v>45313</v>
      </c>
      <c r="F58">
        <v>1000</v>
      </c>
      <c r="G58">
        <v>9.34</v>
      </c>
      <c r="H58">
        <v>9360</v>
      </c>
      <c r="I58" t="s">
        <v>26</v>
      </c>
      <c r="J58" t="s">
        <v>26</v>
      </c>
      <c r="K58" t="s">
        <v>27</v>
      </c>
    </row>
    <row r="59" spans="1:11" x14ac:dyDescent="0.25">
      <c r="A59" t="s">
        <v>21</v>
      </c>
      <c r="B59" t="s">
        <v>23</v>
      </c>
      <c r="C59">
        <v>1215</v>
      </c>
      <c r="D59" t="s">
        <v>35</v>
      </c>
      <c r="E59" s="3">
        <v>45169</v>
      </c>
      <c r="F59">
        <v>500</v>
      </c>
      <c r="G59">
        <v>96.3</v>
      </c>
      <c r="H59">
        <v>48191</v>
      </c>
      <c r="I59" t="s">
        <v>26</v>
      </c>
      <c r="J59" t="s">
        <v>26</v>
      </c>
      <c r="K59" t="s">
        <v>27</v>
      </c>
    </row>
    <row r="60" spans="1:11" x14ac:dyDescent="0.25">
      <c r="A60" t="s">
        <v>21</v>
      </c>
      <c r="B60" t="s">
        <v>23</v>
      </c>
      <c r="C60">
        <v>1215</v>
      </c>
      <c r="D60" t="s">
        <v>35</v>
      </c>
      <c r="E60" s="3">
        <v>45182</v>
      </c>
      <c r="F60">
        <v>500</v>
      </c>
      <c r="G60">
        <v>98.4</v>
      </c>
      <c r="H60">
        <v>49242</v>
      </c>
      <c r="I60" t="s">
        <v>26</v>
      </c>
      <c r="J60" t="s">
        <v>26</v>
      </c>
      <c r="K60" t="s">
        <v>27</v>
      </c>
    </row>
    <row r="61" spans="1:11" x14ac:dyDescent="0.25">
      <c r="A61" t="s">
        <v>21</v>
      </c>
      <c r="B61" t="s">
        <v>23</v>
      </c>
      <c r="C61">
        <v>1474</v>
      </c>
      <c r="D61" t="s">
        <v>36</v>
      </c>
      <c r="E61" s="3">
        <v>44454</v>
      </c>
      <c r="F61">
        <v>1000</v>
      </c>
      <c r="G61">
        <v>15.45</v>
      </c>
      <c r="H61">
        <v>15470</v>
      </c>
      <c r="I61" t="s">
        <v>26</v>
      </c>
      <c r="J61" t="s">
        <v>26</v>
      </c>
      <c r="K61" t="s">
        <v>27</v>
      </c>
    </row>
    <row r="62" spans="1:11" x14ac:dyDescent="0.25">
      <c r="A62" t="s">
        <v>21</v>
      </c>
      <c r="B62" t="s">
        <v>23</v>
      </c>
      <c r="C62">
        <v>1514</v>
      </c>
      <c r="D62" t="s">
        <v>37</v>
      </c>
      <c r="E62" s="3">
        <v>45306</v>
      </c>
      <c r="F62">
        <v>1000</v>
      </c>
      <c r="G62">
        <v>82.2</v>
      </c>
      <c r="H62">
        <v>82270</v>
      </c>
      <c r="I62" t="s">
        <v>26</v>
      </c>
      <c r="J62" t="s">
        <v>26</v>
      </c>
      <c r="K62" t="s">
        <v>27</v>
      </c>
    </row>
    <row r="63" spans="1:11" x14ac:dyDescent="0.25">
      <c r="A63" t="s">
        <v>21</v>
      </c>
      <c r="B63" t="s">
        <v>23</v>
      </c>
      <c r="C63">
        <v>2105</v>
      </c>
      <c r="D63" t="s">
        <v>38</v>
      </c>
      <c r="E63" s="3">
        <v>43523</v>
      </c>
      <c r="F63">
        <v>5000</v>
      </c>
      <c r="G63">
        <v>0</v>
      </c>
      <c r="H63">
        <v>36</v>
      </c>
      <c r="I63" t="s">
        <v>26</v>
      </c>
      <c r="J63" t="s">
        <v>26</v>
      </c>
      <c r="K63" t="s">
        <v>27</v>
      </c>
    </row>
    <row r="64" spans="1:11" x14ac:dyDescent="0.25">
      <c r="A64" t="s">
        <v>21</v>
      </c>
      <c r="B64" t="s">
        <v>23</v>
      </c>
      <c r="C64">
        <v>2105</v>
      </c>
      <c r="D64" t="s">
        <v>38</v>
      </c>
      <c r="E64" s="3">
        <v>43528</v>
      </c>
      <c r="F64">
        <v>1000</v>
      </c>
      <c r="G64">
        <v>43.25</v>
      </c>
      <c r="H64">
        <v>43286</v>
      </c>
      <c r="I64" t="s">
        <v>26</v>
      </c>
      <c r="J64" t="s">
        <v>26</v>
      </c>
      <c r="K64" t="s">
        <v>27</v>
      </c>
    </row>
    <row r="65" spans="1:11" x14ac:dyDescent="0.25">
      <c r="A65" t="s">
        <v>21</v>
      </c>
      <c r="B65" t="s">
        <v>23</v>
      </c>
      <c r="C65">
        <v>2105</v>
      </c>
      <c r="D65" t="s">
        <v>38</v>
      </c>
      <c r="E65" s="3">
        <v>43669</v>
      </c>
      <c r="F65">
        <v>1000</v>
      </c>
      <c r="G65">
        <v>39.5</v>
      </c>
      <c r="H65">
        <v>39533</v>
      </c>
      <c r="I65" t="s">
        <v>26</v>
      </c>
      <c r="J65" t="s">
        <v>26</v>
      </c>
      <c r="K65" t="s">
        <v>27</v>
      </c>
    </row>
    <row r="66" spans="1:11" x14ac:dyDescent="0.25">
      <c r="A66" t="s">
        <v>21</v>
      </c>
      <c r="B66" t="s">
        <v>23</v>
      </c>
      <c r="C66">
        <v>2105</v>
      </c>
      <c r="D66" t="s">
        <v>38</v>
      </c>
      <c r="E66" s="3">
        <v>43880</v>
      </c>
      <c r="F66">
        <v>1000</v>
      </c>
      <c r="G66">
        <v>39.4</v>
      </c>
      <c r="H66">
        <v>39433</v>
      </c>
      <c r="I66" t="s">
        <v>26</v>
      </c>
      <c r="J66" t="s">
        <v>26</v>
      </c>
      <c r="K66" t="s">
        <v>27</v>
      </c>
    </row>
    <row r="67" spans="1:11" x14ac:dyDescent="0.25">
      <c r="A67" t="s">
        <v>21</v>
      </c>
      <c r="B67" t="s">
        <v>23</v>
      </c>
      <c r="C67">
        <v>2105</v>
      </c>
      <c r="D67" t="s">
        <v>38</v>
      </c>
      <c r="E67" s="3">
        <v>44428</v>
      </c>
      <c r="F67">
        <v>1000</v>
      </c>
      <c r="G67">
        <v>37.6</v>
      </c>
      <c r="H67">
        <v>37632</v>
      </c>
      <c r="I67" t="s">
        <v>26</v>
      </c>
      <c r="J67" t="s">
        <v>26</v>
      </c>
      <c r="K67" t="s">
        <v>27</v>
      </c>
    </row>
    <row r="68" spans="1:11" x14ac:dyDescent="0.25">
      <c r="A68" t="s">
        <v>21</v>
      </c>
      <c r="B68" t="s">
        <v>23</v>
      </c>
      <c r="C68">
        <v>2105</v>
      </c>
      <c r="D68" t="s">
        <v>38</v>
      </c>
      <c r="E68" s="3">
        <v>44538</v>
      </c>
      <c r="F68">
        <v>1000</v>
      </c>
      <c r="G68">
        <v>35.049999999999997</v>
      </c>
      <c r="H68">
        <v>35079</v>
      </c>
      <c r="I68" t="s">
        <v>26</v>
      </c>
      <c r="J68" t="s">
        <v>26</v>
      </c>
      <c r="K68" t="s">
        <v>27</v>
      </c>
    </row>
    <row r="69" spans="1:11" x14ac:dyDescent="0.25">
      <c r="A69" t="s">
        <v>21</v>
      </c>
      <c r="B69" t="s">
        <v>23</v>
      </c>
      <c r="C69">
        <v>2105</v>
      </c>
      <c r="D69" t="s">
        <v>38</v>
      </c>
      <c r="E69" s="3">
        <v>44609</v>
      </c>
      <c r="F69">
        <v>1000</v>
      </c>
      <c r="G69">
        <v>36</v>
      </c>
      <c r="H69">
        <v>36030</v>
      </c>
      <c r="I69" t="s">
        <v>26</v>
      </c>
      <c r="J69" t="s">
        <v>26</v>
      </c>
      <c r="K69" t="s">
        <v>27</v>
      </c>
    </row>
    <row r="70" spans="1:11" x14ac:dyDescent="0.25">
      <c r="A70" t="s">
        <v>21</v>
      </c>
      <c r="B70" t="s">
        <v>23</v>
      </c>
      <c r="C70">
        <v>2105</v>
      </c>
      <c r="D70" t="s">
        <v>38</v>
      </c>
      <c r="E70" s="3">
        <v>44768</v>
      </c>
      <c r="F70">
        <v>300</v>
      </c>
      <c r="G70">
        <v>35.25</v>
      </c>
      <c r="H70">
        <v>10584</v>
      </c>
      <c r="I70" t="s">
        <v>26</v>
      </c>
      <c r="J70" t="s">
        <v>26</v>
      </c>
      <c r="K70" t="s">
        <v>27</v>
      </c>
    </row>
    <row r="71" spans="1:11" x14ac:dyDescent="0.25">
      <c r="A71" t="s">
        <v>21</v>
      </c>
      <c r="B71" t="s">
        <v>23</v>
      </c>
      <c r="C71">
        <v>2105</v>
      </c>
      <c r="D71" t="s">
        <v>38</v>
      </c>
      <c r="E71" s="3">
        <v>45078</v>
      </c>
      <c r="F71">
        <v>500</v>
      </c>
      <c r="G71">
        <v>38.049999999999997</v>
      </c>
      <c r="H71">
        <v>19041</v>
      </c>
      <c r="I71" t="s">
        <v>26</v>
      </c>
      <c r="J71" t="s">
        <v>26</v>
      </c>
      <c r="K71" t="s">
        <v>27</v>
      </c>
    </row>
    <row r="72" spans="1:11" x14ac:dyDescent="0.25">
      <c r="A72" t="s">
        <v>21</v>
      </c>
      <c r="B72" t="s">
        <v>23</v>
      </c>
      <c r="C72">
        <v>2618</v>
      </c>
      <c r="D72" t="s">
        <v>39</v>
      </c>
      <c r="E72" s="3">
        <v>45293</v>
      </c>
      <c r="F72">
        <v>2000</v>
      </c>
      <c r="G72">
        <v>33.4</v>
      </c>
      <c r="H72">
        <v>66857</v>
      </c>
      <c r="I72" t="s">
        <v>26</v>
      </c>
      <c r="J72" t="s">
        <v>26</v>
      </c>
      <c r="K72" t="s">
        <v>27</v>
      </c>
    </row>
    <row r="73" spans="1:11" x14ac:dyDescent="0.25">
      <c r="A73" t="s">
        <v>21</v>
      </c>
      <c r="B73" t="s">
        <v>23</v>
      </c>
      <c r="C73">
        <v>2618</v>
      </c>
      <c r="D73" t="s">
        <v>39</v>
      </c>
      <c r="E73" s="3">
        <v>45295</v>
      </c>
      <c r="F73">
        <v>1000</v>
      </c>
      <c r="G73">
        <v>32.65</v>
      </c>
      <c r="H73">
        <v>32677</v>
      </c>
      <c r="I73" t="s">
        <v>26</v>
      </c>
      <c r="J73" t="s">
        <v>26</v>
      </c>
      <c r="K73" t="s">
        <v>27</v>
      </c>
    </row>
    <row r="74" spans="1:11" x14ac:dyDescent="0.25">
      <c r="A74" t="s">
        <v>21</v>
      </c>
      <c r="B74" t="s">
        <v>23</v>
      </c>
      <c r="C74">
        <v>2618</v>
      </c>
      <c r="D74" t="s">
        <v>39</v>
      </c>
      <c r="E74" s="3">
        <v>45313</v>
      </c>
      <c r="F74">
        <v>1000</v>
      </c>
      <c r="G74">
        <v>30.85</v>
      </c>
      <c r="H74">
        <v>30876</v>
      </c>
      <c r="I74" t="s">
        <v>26</v>
      </c>
      <c r="J74" t="s">
        <v>26</v>
      </c>
      <c r="K74" t="s">
        <v>27</v>
      </c>
    </row>
    <row r="75" spans="1:11" x14ac:dyDescent="0.25">
      <c r="A75" t="s">
        <v>21</v>
      </c>
      <c r="B75" t="s">
        <v>23</v>
      </c>
      <c r="C75">
        <v>2812</v>
      </c>
      <c r="D75" t="s">
        <v>40</v>
      </c>
      <c r="E75" s="3">
        <v>43542</v>
      </c>
      <c r="F75">
        <v>5000</v>
      </c>
      <c r="G75">
        <v>11.15</v>
      </c>
      <c r="H75">
        <v>55797</v>
      </c>
      <c r="I75" t="s">
        <v>26</v>
      </c>
      <c r="J75" t="s">
        <v>26</v>
      </c>
      <c r="K75" t="s">
        <v>27</v>
      </c>
    </row>
    <row r="76" spans="1:11" x14ac:dyDescent="0.25">
      <c r="A76" t="s">
        <v>21</v>
      </c>
      <c r="B76" t="s">
        <v>23</v>
      </c>
      <c r="C76">
        <v>2812</v>
      </c>
      <c r="D76" t="s">
        <v>40</v>
      </c>
      <c r="E76" s="3">
        <v>43706</v>
      </c>
      <c r="F76">
        <v>1000</v>
      </c>
      <c r="G76">
        <v>11.7</v>
      </c>
      <c r="H76">
        <v>11720</v>
      </c>
      <c r="I76" t="s">
        <v>26</v>
      </c>
      <c r="J76" t="s">
        <v>26</v>
      </c>
      <c r="K76" t="s">
        <v>27</v>
      </c>
    </row>
    <row r="77" spans="1:11" x14ac:dyDescent="0.25">
      <c r="A77" t="s">
        <v>21</v>
      </c>
      <c r="B77" t="s">
        <v>23</v>
      </c>
      <c r="C77">
        <v>2812</v>
      </c>
      <c r="D77" t="s">
        <v>40</v>
      </c>
      <c r="E77" s="3">
        <v>43739</v>
      </c>
      <c r="F77">
        <v>260</v>
      </c>
      <c r="G77">
        <v>0</v>
      </c>
      <c r="H77">
        <v>10</v>
      </c>
      <c r="I77" t="s">
        <v>26</v>
      </c>
      <c r="J77" t="s">
        <v>26</v>
      </c>
      <c r="K77" t="s">
        <v>27</v>
      </c>
    </row>
    <row r="78" spans="1:11" x14ac:dyDescent="0.25">
      <c r="A78" t="s">
        <v>21</v>
      </c>
      <c r="B78" t="s">
        <v>23</v>
      </c>
      <c r="C78">
        <v>2812</v>
      </c>
      <c r="D78" t="s">
        <v>40</v>
      </c>
      <c r="E78" s="3">
        <v>43909</v>
      </c>
      <c r="F78">
        <v>1000</v>
      </c>
      <c r="G78">
        <v>9.14</v>
      </c>
      <c r="H78">
        <v>9160</v>
      </c>
      <c r="I78" t="s">
        <v>26</v>
      </c>
      <c r="J78" t="s">
        <v>26</v>
      </c>
      <c r="K78" t="s">
        <v>27</v>
      </c>
    </row>
    <row r="79" spans="1:11" x14ac:dyDescent="0.25">
      <c r="A79" t="s">
        <v>21</v>
      </c>
      <c r="B79" t="s">
        <v>23</v>
      </c>
      <c r="C79">
        <v>2812</v>
      </c>
      <c r="D79" t="s">
        <v>40</v>
      </c>
      <c r="E79" s="3">
        <v>44070</v>
      </c>
      <c r="F79">
        <v>1000</v>
      </c>
      <c r="G79">
        <v>11.35</v>
      </c>
      <c r="H79">
        <v>11370</v>
      </c>
      <c r="I79" t="s">
        <v>26</v>
      </c>
      <c r="J79" t="s">
        <v>26</v>
      </c>
      <c r="K79" t="s">
        <v>27</v>
      </c>
    </row>
    <row r="80" spans="1:11" x14ac:dyDescent="0.25">
      <c r="A80" t="s">
        <v>21</v>
      </c>
      <c r="B80" t="s">
        <v>23</v>
      </c>
      <c r="C80">
        <v>2812</v>
      </c>
      <c r="D80" t="s">
        <v>40</v>
      </c>
      <c r="E80" s="3">
        <v>44104</v>
      </c>
      <c r="F80">
        <v>377</v>
      </c>
      <c r="G80">
        <v>0</v>
      </c>
      <c r="H80">
        <v>0</v>
      </c>
      <c r="I80" t="s">
        <v>26</v>
      </c>
      <c r="J80" t="s">
        <v>26</v>
      </c>
      <c r="K80" t="s">
        <v>27</v>
      </c>
    </row>
    <row r="81" spans="1:11" x14ac:dyDescent="0.25">
      <c r="A81" t="s">
        <v>21</v>
      </c>
      <c r="B81" t="s">
        <v>23</v>
      </c>
      <c r="C81">
        <v>2812</v>
      </c>
      <c r="D81" t="s">
        <v>40</v>
      </c>
      <c r="E81" s="3">
        <v>44439</v>
      </c>
      <c r="F81">
        <v>1000</v>
      </c>
      <c r="G81">
        <v>11.7</v>
      </c>
      <c r="H81">
        <v>11720</v>
      </c>
      <c r="I81" t="s">
        <v>26</v>
      </c>
      <c r="J81" t="s">
        <v>26</v>
      </c>
      <c r="K81" t="s">
        <v>27</v>
      </c>
    </row>
    <row r="82" spans="1:11" x14ac:dyDescent="0.25">
      <c r="A82" t="s">
        <v>21</v>
      </c>
      <c r="B82" t="s">
        <v>23</v>
      </c>
      <c r="C82">
        <v>2812</v>
      </c>
      <c r="D82" t="s">
        <v>40</v>
      </c>
      <c r="E82" s="3">
        <v>44469</v>
      </c>
      <c r="F82">
        <v>388</v>
      </c>
      <c r="G82">
        <v>0</v>
      </c>
      <c r="H82">
        <v>0</v>
      </c>
      <c r="I82" t="s">
        <v>26</v>
      </c>
      <c r="J82" t="s">
        <v>26</v>
      </c>
      <c r="K82" t="s">
        <v>27</v>
      </c>
    </row>
    <row r="83" spans="1:11" x14ac:dyDescent="0.25">
      <c r="A83" t="s">
        <v>21</v>
      </c>
      <c r="B83" t="s">
        <v>23</v>
      </c>
      <c r="C83">
        <v>2812</v>
      </c>
      <c r="D83" t="s">
        <v>40</v>
      </c>
      <c r="E83" s="3">
        <v>44557</v>
      </c>
      <c r="F83">
        <v>346</v>
      </c>
      <c r="G83">
        <v>0</v>
      </c>
      <c r="H83">
        <v>0</v>
      </c>
      <c r="I83" t="s">
        <v>26</v>
      </c>
      <c r="J83" t="s">
        <v>26</v>
      </c>
      <c r="K83" t="s">
        <v>27</v>
      </c>
    </row>
    <row r="84" spans="1:11" x14ac:dyDescent="0.25">
      <c r="A84" t="s">
        <v>21</v>
      </c>
      <c r="B84" t="s">
        <v>23</v>
      </c>
      <c r="C84">
        <v>2812</v>
      </c>
      <c r="D84" t="s">
        <v>40</v>
      </c>
      <c r="E84" s="3">
        <v>44768</v>
      </c>
      <c r="F84">
        <v>180</v>
      </c>
      <c r="G84">
        <v>13.1</v>
      </c>
      <c r="H84">
        <v>2360</v>
      </c>
      <c r="I84" t="s">
        <v>26</v>
      </c>
      <c r="J84" t="s">
        <v>26</v>
      </c>
      <c r="K84" t="s">
        <v>27</v>
      </c>
    </row>
    <row r="85" spans="1:11" x14ac:dyDescent="0.25">
      <c r="A85" t="s">
        <v>21</v>
      </c>
      <c r="B85" t="s">
        <v>23</v>
      </c>
      <c r="C85">
        <v>2812</v>
      </c>
      <c r="D85" t="s">
        <v>40</v>
      </c>
      <c r="E85" s="3">
        <v>44795</v>
      </c>
      <c r="F85">
        <v>518</v>
      </c>
      <c r="G85">
        <v>0</v>
      </c>
      <c r="H85">
        <v>0</v>
      </c>
      <c r="I85" t="s">
        <v>26</v>
      </c>
      <c r="J85" t="s">
        <v>26</v>
      </c>
      <c r="K85" t="s">
        <v>27</v>
      </c>
    </row>
    <row r="86" spans="1:11" x14ac:dyDescent="0.25">
      <c r="A86" t="s">
        <v>21</v>
      </c>
      <c r="B86" t="s">
        <v>23</v>
      </c>
      <c r="C86">
        <v>2812</v>
      </c>
      <c r="D86" t="s">
        <v>40</v>
      </c>
      <c r="E86" s="3">
        <v>45156</v>
      </c>
      <c r="F86">
        <v>464</v>
      </c>
      <c r="G86">
        <v>0</v>
      </c>
      <c r="H86">
        <v>0</v>
      </c>
      <c r="I86" t="s">
        <v>26</v>
      </c>
      <c r="J86" t="s">
        <v>26</v>
      </c>
      <c r="K86" t="s">
        <v>27</v>
      </c>
    </row>
    <row r="87" spans="1:11" x14ac:dyDescent="0.25">
      <c r="A87" t="s">
        <v>21</v>
      </c>
      <c r="B87" t="s">
        <v>23</v>
      </c>
      <c r="C87">
        <v>2887</v>
      </c>
      <c r="D87" t="s">
        <v>41</v>
      </c>
      <c r="E87" s="3">
        <v>43523</v>
      </c>
      <c r="F87">
        <v>7442</v>
      </c>
      <c r="G87">
        <v>0</v>
      </c>
      <c r="H87">
        <v>93786</v>
      </c>
      <c r="I87" t="s">
        <v>26</v>
      </c>
      <c r="J87" t="s">
        <v>26</v>
      </c>
      <c r="K87" t="s">
        <v>27</v>
      </c>
    </row>
    <row r="88" spans="1:11" x14ac:dyDescent="0.25">
      <c r="A88" t="s">
        <v>21</v>
      </c>
      <c r="B88" t="s">
        <v>23</v>
      </c>
      <c r="C88">
        <v>2887</v>
      </c>
      <c r="D88" t="s">
        <v>41</v>
      </c>
      <c r="E88" s="3">
        <v>43602</v>
      </c>
      <c r="F88">
        <v>1000</v>
      </c>
      <c r="G88">
        <v>13.75</v>
      </c>
      <c r="H88">
        <v>13770</v>
      </c>
      <c r="I88" t="s">
        <v>26</v>
      </c>
      <c r="J88" t="s">
        <v>26</v>
      </c>
      <c r="K88" t="s">
        <v>27</v>
      </c>
    </row>
    <row r="89" spans="1:11" x14ac:dyDescent="0.25">
      <c r="A89" t="s">
        <v>21</v>
      </c>
      <c r="B89" t="s">
        <v>23</v>
      </c>
      <c r="C89">
        <v>2887</v>
      </c>
      <c r="D89" t="s">
        <v>41</v>
      </c>
      <c r="E89" s="3">
        <v>43690</v>
      </c>
      <c r="F89">
        <v>1000</v>
      </c>
      <c r="G89">
        <v>13.65</v>
      </c>
      <c r="H89">
        <v>13670</v>
      </c>
      <c r="I89" t="s">
        <v>26</v>
      </c>
      <c r="J89" t="s">
        <v>26</v>
      </c>
      <c r="K89" t="s">
        <v>27</v>
      </c>
    </row>
    <row r="90" spans="1:11" x14ac:dyDescent="0.25">
      <c r="A90" t="s">
        <v>21</v>
      </c>
      <c r="B90" t="s">
        <v>23</v>
      </c>
      <c r="C90">
        <v>2887</v>
      </c>
      <c r="D90" t="s">
        <v>41</v>
      </c>
      <c r="E90" s="3">
        <v>43717</v>
      </c>
      <c r="F90">
        <v>321</v>
      </c>
      <c r="G90">
        <v>0</v>
      </c>
      <c r="H90">
        <v>4823</v>
      </c>
      <c r="I90" t="s">
        <v>26</v>
      </c>
      <c r="J90" t="s">
        <v>26</v>
      </c>
      <c r="K90" t="s">
        <v>27</v>
      </c>
    </row>
    <row r="91" spans="1:11" x14ac:dyDescent="0.25">
      <c r="A91" t="s">
        <v>21</v>
      </c>
      <c r="B91" t="s">
        <v>23</v>
      </c>
      <c r="C91">
        <v>2887</v>
      </c>
      <c r="D91" t="s">
        <v>41</v>
      </c>
      <c r="E91" s="3">
        <v>44054</v>
      </c>
      <c r="F91">
        <v>1000</v>
      </c>
      <c r="G91">
        <v>13.15</v>
      </c>
      <c r="H91">
        <v>13170</v>
      </c>
      <c r="I91" t="s">
        <v>26</v>
      </c>
      <c r="J91" t="s">
        <v>26</v>
      </c>
      <c r="K91" t="s">
        <v>27</v>
      </c>
    </row>
    <row r="92" spans="1:11" x14ac:dyDescent="0.25">
      <c r="A92" t="s">
        <v>21</v>
      </c>
      <c r="B92" t="s">
        <v>23</v>
      </c>
      <c r="C92">
        <v>2887</v>
      </c>
      <c r="D92" t="s">
        <v>41</v>
      </c>
      <c r="E92" s="3">
        <v>44083</v>
      </c>
      <c r="F92">
        <v>387</v>
      </c>
      <c r="G92">
        <v>0</v>
      </c>
      <c r="H92">
        <v>0</v>
      </c>
      <c r="I92" t="s">
        <v>26</v>
      </c>
      <c r="J92" t="s">
        <v>26</v>
      </c>
      <c r="K92" t="s">
        <v>27</v>
      </c>
    </row>
    <row r="93" spans="1:11" x14ac:dyDescent="0.25">
      <c r="A93" t="s">
        <v>21</v>
      </c>
      <c r="B93" t="s">
        <v>23</v>
      </c>
      <c r="C93">
        <v>2887</v>
      </c>
      <c r="D93" t="s">
        <v>41</v>
      </c>
      <c r="E93" s="3">
        <v>44447</v>
      </c>
      <c r="F93">
        <v>1000</v>
      </c>
      <c r="G93">
        <v>17.95</v>
      </c>
      <c r="H93">
        <v>17970</v>
      </c>
      <c r="I93" t="s">
        <v>26</v>
      </c>
      <c r="J93" t="s">
        <v>26</v>
      </c>
      <c r="K93" t="s">
        <v>27</v>
      </c>
    </row>
    <row r="94" spans="1:11" x14ac:dyDescent="0.25">
      <c r="A94" t="s">
        <v>21</v>
      </c>
      <c r="B94" t="s">
        <v>23</v>
      </c>
      <c r="C94">
        <v>2887</v>
      </c>
      <c r="D94" t="s">
        <v>41</v>
      </c>
      <c r="E94" s="3">
        <v>44474</v>
      </c>
      <c r="F94">
        <v>824</v>
      </c>
      <c r="G94">
        <v>0</v>
      </c>
      <c r="H94">
        <v>0</v>
      </c>
      <c r="I94" t="s">
        <v>26</v>
      </c>
      <c r="J94" t="s">
        <v>26</v>
      </c>
      <c r="K94" t="s">
        <v>27</v>
      </c>
    </row>
    <row r="95" spans="1:11" x14ac:dyDescent="0.25">
      <c r="A95" t="s">
        <v>21</v>
      </c>
      <c r="B95" t="s">
        <v>23</v>
      </c>
      <c r="C95">
        <v>2887</v>
      </c>
      <c r="D95" t="s">
        <v>41</v>
      </c>
      <c r="E95" s="3">
        <v>44691</v>
      </c>
      <c r="F95">
        <v>1000</v>
      </c>
      <c r="G95">
        <v>17.149999999999999</v>
      </c>
      <c r="H95">
        <v>17170</v>
      </c>
      <c r="I95" t="s">
        <v>26</v>
      </c>
      <c r="J95" t="s">
        <v>26</v>
      </c>
      <c r="K95" t="s">
        <v>27</v>
      </c>
    </row>
    <row r="96" spans="1:11" x14ac:dyDescent="0.25">
      <c r="A96" t="s">
        <v>21</v>
      </c>
      <c r="B96" t="s">
        <v>23</v>
      </c>
      <c r="C96">
        <v>2887</v>
      </c>
      <c r="D96" t="s">
        <v>41</v>
      </c>
      <c r="E96" s="3">
        <v>44691</v>
      </c>
      <c r="F96">
        <v>1000</v>
      </c>
      <c r="G96">
        <v>17.2</v>
      </c>
      <c r="H96">
        <v>17220</v>
      </c>
      <c r="I96" t="s">
        <v>26</v>
      </c>
      <c r="J96" t="s">
        <v>26</v>
      </c>
      <c r="K96" t="s">
        <v>27</v>
      </c>
    </row>
    <row r="97" spans="1:11" x14ac:dyDescent="0.25">
      <c r="A97" t="s">
        <v>21</v>
      </c>
      <c r="B97" t="s">
        <v>23</v>
      </c>
      <c r="C97">
        <v>2887</v>
      </c>
      <c r="D97" t="s">
        <v>41</v>
      </c>
      <c r="E97" s="3">
        <v>44803</v>
      </c>
      <c r="F97">
        <v>1000</v>
      </c>
      <c r="G97">
        <v>15.2</v>
      </c>
      <c r="H97">
        <v>15220</v>
      </c>
      <c r="I97" t="s">
        <v>26</v>
      </c>
      <c r="J97" t="s">
        <v>26</v>
      </c>
      <c r="K97" t="s">
        <v>27</v>
      </c>
    </row>
    <row r="98" spans="1:11" x14ac:dyDescent="0.25">
      <c r="A98" t="s">
        <v>21</v>
      </c>
      <c r="B98" t="s">
        <v>23</v>
      </c>
      <c r="C98">
        <v>2887</v>
      </c>
      <c r="D98" t="s">
        <v>41</v>
      </c>
      <c r="E98" s="3">
        <v>44824</v>
      </c>
      <c r="F98">
        <v>1087</v>
      </c>
      <c r="G98">
        <v>0</v>
      </c>
      <c r="H98">
        <v>0</v>
      </c>
      <c r="I98" t="s">
        <v>26</v>
      </c>
      <c r="J98" t="s">
        <v>26</v>
      </c>
      <c r="K98" t="s">
        <v>27</v>
      </c>
    </row>
    <row r="99" spans="1:11" x14ac:dyDescent="0.25">
      <c r="A99" t="s">
        <v>21</v>
      </c>
      <c r="B99" t="s">
        <v>23</v>
      </c>
      <c r="C99">
        <v>2887</v>
      </c>
      <c r="D99" t="s">
        <v>41</v>
      </c>
      <c r="E99" s="3">
        <v>45163</v>
      </c>
      <c r="F99">
        <v>716</v>
      </c>
      <c r="G99">
        <v>0</v>
      </c>
      <c r="H99">
        <v>0</v>
      </c>
      <c r="I99" t="s">
        <v>26</v>
      </c>
      <c r="J99" t="s">
        <v>26</v>
      </c>
      <c r="K99" t="s">
        <v>27</v>
      </c>
    </row>
    <row r="100" spans="1:11" x14ac:dyDescent="0.25">
      <c r="A100" t="s">
        <v>21</v>
      </c>
      <c r="B100" t="s">
        <v>23</v>
      </c>
      <c r="C100">
        <v>2892</v>
      </c>
      <c r="D100" t="s">
        <v>42</v>
      </c>
      <c r="E100" s="3">
        <v>43523</v>
      </c>
      <c r="F100">
        <v>4365</v>
      </c>
      <c r="G100">
        <v>0</v>
      </c>
      <c r="H100">
        <v>12</v>
      </c>
      <c r="I100" t="s">
        <v>26</v>
      </c>
      <c r="J100" t="s">
        <v>26</v>
      </c>
      <c r="K100" t="s">
        <v>27</v>
      </c>
    </row>
    <row r="101" spans="1:11" x14ac:dyDescent="0.25">
      <c r="A101" t="s">
        <v>21</v>
      </c>
      <c r="B101" t="s">
        <v>23</v>
      </c>
      <c r="C101">
        <v>2892</v>
      </c>
      <c r="D101" t="s">
        <v>42</v>
      </c>
      <c r="E101" s="3">
        <v>43689</v>
      </c>
      <c r="F101">
        <v>1000</v>
      </c>
      <c r="G101">
        <v>21.5</v>
      </c>
      <c r="H101">
        <v>21520</v>
      </c>
      <c r="I101" t="s">
        <v>26</v>
      </c>
      <c r="J101" t="s">
        <v>26</v>
      </c>
      <c r="K101" t="s">
        <v>27</v>
      </c>
    </row>
    <row r="102" spans="1:11" x14ac:dyDescent="0.25">
      <c r="A102" t="s">
        <v>21</v>
      </c>
      <c r="B102" t="s">
        <v>23</v>
      </c>
      <c r="C102">
        <v>2892</v>
      </c>
      <c r="D102" t="s">
        <v>42</v>
      </c>
      <c r="E102" s="3">
        <v>43726</v>
      </c>
      <c r="F102">
        <v>43</v>
      </c>
      <c r="G102">
        <v>0</v>
      </c>
      <c r="H102">
        <v>12</v>
      </c>
      <c r="I102" t="s">
        <v>26</v>
      </c>
      <c r="J102" t="s">
        <v>26</v>
      </c>
      <c r="K102" t="s">
        <v>27</v>
      </c>
    </row>
    <row r="103" spans="1:11" x14ac:dyDescent="0.25">
      <c r="A103" t="s">
        <v>21</v>
      </c>
      <c r="B103" t="s">
        <v>23</v>
      </c>
      <c r="C103">
        <v>2892</v>
      </c>
      <c r="D103" t="s">
        <v>42</v>
      </c>
      <c r="E103" s="3">
        <v>43903</v>
      </c>
      <c r="F103">
        <v>1000</v>
      </c>
      <c r="G103">
        <v>20.149999999999999</v>
      </c>
      <c r="H103">
        <v>20170</v>
      </c>
      <c r="I103" t="s">
        <v>26</v>
      </c>
      <c r="J103" t="s">
        <v>26</v>
      </c>
      <c r="K103" t="s">
        <v>27</v>
      </c>
    </row>
    <row r="104" spans="1:11" x14ac:dyDescent="0.25">
      <c r="A104" t="s">
        <v>21</v>
      </c>
      <c r="B104" t="s">
        <v>23</v>
      </c>
      <c r="C104">
        <v>2892</v>
      </c>
      <c r="D104" t="s">
        <v>42</v>
      </c>
      <c r="E104" s="3">
        <v>43913</v>
      </c>
      <c r="F104">
        <v>1000</v>
      </c>
      <c r="G104">
        <v>17.850000000000001</v>
      </c>
      <c r="H104">
        <v>17870</v>
      </c>
      <c r="I104" t="s">
        <v>26</v>
      </c>
      <c r="J104" t="s">
        <v>26</v>
      </c>
      <c r="K104" t="s">
        <v>27</v>
      </c>
    </row>
    <row r="105" spans="1:11" x14ac:dyDescent="0.25">
      <c r="A105" t="s">
        <v>21</v>
      </c>
      <c r="B105" t="s">
        <v>23</v>
      </c>
      <c r="C105">
        <v>2892</v>
      </c>
      <c r="D105" t="s">
        <v>42</v>
      </c>
      <c r="E105" s="3">
        <v>44042</v>
      </c>
      <c r="F105">
        <v>1000</v>
      </c>
      <c r="G105">
        <v>23.6</v>
      </c>
      <c r="H105">
        <v>23620</v>
      </c>
      <c r="I105" t="s">
        <v>26</v>
      </c>
      <c r="J105" t="s">
        <v>26</v>
      </c>
      <c r="K105" t="s">
        <v>27</v>
      </c>
    </row>
    <row r="106" spans="1:11" x14ac:dyDescent="0.25">
      <c r="A106" t="s">
        <v>21</v>
      </c>
      <c r="B106" t="s">
        <v>23</v>
      </c>
      <c r="C106">
        <v>2892</v>
      </c>
      <c r="D106" t="s">
        <v>42</v>
      </c>
      <c r="E106" s="3">
        <v>44053</v>
      </c>
      <c r="F106">
        <v>1000</v>
      </c>
      <c r="G106">
        <v>22.1</v>
      </c>
      <c r="H106">
        <v>22120</v>
      </c>
      <c r="I106" t="s">
        <v>26</v>
      </c>
      <c r="J106" t="s">
        <v>26</v>
      </c>
      <c r="K106" t="s">
        <v>27</v>
      </c>
    </row>
    <row r="107" spans="1:11" x14ac:dyDescent="0.25">
      <c r="A107" t="s">
        <v>21</v>
      </c>
      <c r="B107" t="s">
        <v>23</v>
      </c>
      <c r="C107">
        <v>2892</v>
      </c>
      <c r="D107" t="s">
        <v>42</v>
      </c>
      <c r="E107" s="3">
        <v>44090</v>
      </c>
      <c r="F107">
        <v>252</v>
      </c>
      <c r="G107">
        <v>0</v>
      </c>
      <c r="H107">
        <v>12</v>
      </c>
      <c r="I107" t="s">
        <v>26</v>
      </c>
      <c r="J107" t="s">
        <v>26</v>
      </c>
      <c r="K107" t="s">
        <v>27</v>
      </c>
    </row>
    <row r="108" spans="1:11" x14ac:dyDescent="0.25">
      <c r="A108" t="s">
        <v>21</v>
      </c>
      <c r="B108" t="s">
        <v>23</v>
      </c>
      <c r="C108">
        <v>2892</v>
      </c>
      <c r="D108" t="s">
        <v>42</v>
      </c>
      <c r="E108" s="3">
        <v>44175</v>
      </c>
      <c r="F108">
        <v>1000</v>
      </c>
      <c r="G108">
        <v>20.55</v>
      </c>
      <c r="H108">
        <v>20570</v>
      </c>
      <c r="I108" t="s">
        <v>26</v>
      </c>
      <c r="J108" t="s">
        <v>26</v>
      </c>
      <c r="K108" t="s">
        <v>27</v>
      </c>
    </row>
    <row r="109" spans="1:11" x14ac:dyDescent="0.25">
      <c r="A109" t="s">
        <v>21</v>
      </c>
      <c r="B109" t="s">
        <v>23</v>
      </c>
      <c r="C109">
        <v>2892</v>
      </c>
      <c r="D109" t="s">
        <v>42</v>
      </c>
      <c r="E109" s="3">
        <v>44455</v>
      </c>
      <c r="F109">
        <v>215</v>
      </c>
      <c r="G109">
        <v>22.69</v>
      </c>
      <c r="H109">
        <v>4882</v>
      </c>
      <c r="I109" t="s">
        <v>26</v>
      </c>
      <c r="J109" t="s">
        <v>26</v>
      </c>
      <c r="K109" t="s">
        <v>27</v>
      </c>
    </row>
    <row r="110" spans="1:11" x14ac:dyDescent="0.25">
      <c r="A110" t="s">
        <v>21</v>
      </c>
      <c r="B110" t="s">
        <v>23</v>
      </c>
      <c r="C110">
        <v>2892</v>
      </c>
      <c r="D110" t="s">
        <v>42</v>
      </c>
      <c r="E110" s="3">
        <v>44473</v>
      </c>
      <c r="F110">
        <v>106</v>
      </c>
      <c r="G110">
        <v>0</v>
      </c>
      <c r="H110">
        <v>15</v>
      </c>
      <c r="I110" t="s">
        <v>26</v>
      </c>
      <c r="J110" t="s">
        <v>26</v>
      </c>
      <c r="K110" t="s">
        <v>27</v>
      </c>
    </row>
    <row r="111" spans="1:11" x14ac:dyDescent="0.25">
      <c r="A111" t="s">
        <v>21</v>
      </c>
      <c r="B111" t="s">
        <v>23</v>
      </c>
      <c r="C111">
        <v>2892</v>
      </c>
      <c r="D111" t="s">
        <v>42</v>
      </c>
      <c r="E111" s="3">
        <v>44487</v>
      </c>
      <c r="F111">
        <v>218</v>
      </c>
      <c r="G111">
        <v>22.69</v>
      </c>
      <c r="H111">
        <v>4950</v>
      </c>
      <c r="I111" t="s">
        <v>26</v>
      </c>
      <c r="J111" t="s">
        <v>26</v>
      </c>
      <c r="K111" t="s">
        <v>27</v>
      </c>
    </row>
    <row r="112" spans="1:11" x14ac:dyDescent="0.25">
      <c r="A112" t="s">
        <v>21</v>
      </c>
      <c r="B112" t="s">
        <v>23</v>
      </c>
      <c r="C112">
        <v>2892</v>
      </c>
      <c r="D112" t="s">
        <v>42</v>
      </c>
      <c r="E112" s="3">
        <v>44516</v>
      </c>
      <c r="F112">
        <v>210</v>
      </c>
      <c r="G112">
        <v>23.51</v>
      </c>
      <c r="H112">
        <v>4941</v>
      </c>
      <c r="I112" t="s">
        <v>26</v>
      </c>
      <c r="J112" t="s">
        <v>26</v>
      </c>
      <c r="K112" t="s">
        <v>27</v>
      </c>
    </row>
    <row r="113" spans="1:11" x14ac:dyDescent="0.25">
      <c r="A113" t="s">
        <v>21</v>
      </c>
      <c r="B113" t="s">
        <v>23</v>
      </c>
      <c r="C113">
        <v>2892</v>
      </c>
      <c r="D113" t="s">
        <v>42</v>
      </c>
      <c r="E113" s="3">
        <v>44628</v>
      </c>
      <c r="F113">
        <v>1000</v>
      </c>
      <c r="G113">
        <v>25.05</v>
      </c>
      <c r="H113">
        <v>25071</v>
      </c>
      <c r="I113" t="s">
        <v>26</v>
      </c>
      <c r="J113" t="s">
        <v>26</v>
      </c>
      <c r="K113" t="s">
        <v>27</v>
      </c>
    </row>
    <row r="114" spans="1:11" x14ac:dyDescent="0.25">
      <c r="A114" t="s">
        <v>21</v>
      </c>
      <c r="B114" t="s">
        <v>23</v>
      </c>
      <c r="C114">
        <v>2892</v>
      </c>
      <c r="D114" t="s">
        <v>42</v>
      </c>
      <c r="E114" s="3">
        <v>44743</v>
      </c>
      <c r="F114">
        <v>1000</v>
      </c>
      <c r="G114">
        <v>26.1</v>
      </c>
      <c r="H114">
        <v>26122</v>
      </c>
      <c r="I114" t="s">
        <v>26</v>
      </c>
      <c r="J114" t="s">
        <v>26</v>
      </c>
      <c r="K114" t="s">
        <v>27</v>
      </c>
    </row>
    <row r="115" spans="1:11" x14ac:dyDescent="0.25">
      <c r="A115" t="s">
        <v>21</v>
      </c>
      <c r="B115" t="s">
        <v>23</v>
      </c>
      <c r="C115">
        <v>2892</v>
      </c>
      <c r="D115" t="s">
        <v>42</v>
      </c>
      <c r="E115" s="3">
        <v>44777</v>
      </c>
      <c r="F115">
        <v>500</v>
      </c>
      <c r="G115">
        <v>25.6</v>
      </c>
      <c r="H115">
        <v>12810</v>
      </c>
      <c r="I115" t="s">
        <v>26</v>
      </c>
      <c r="J115" t="s">
        <v>26</v>
      </c>
      <c r="K115" t="s">
        <v>27</v>
      </c>
    </row>
    <row r="116" spans="1:11" x14ac:dyDescent="0.25">
      <c r="A116" t="s">
        <v>21</v>
      </c>
      <c r="B116" t="s">
        <v>23</v>
      </c>
      <c r="C116">
        <v>2892</v>
      </c>
      <c r="D116" t="s">
        <v>42</v>
      </c>
      <c r="E116" s="3">
        <v>44818</v>
      </c>
      <c r="F116">
        <v>268</v>
      </c>
      <c r="G116">
        <v>0</v>
      </c>
      <c r="H116">
        <v>20</v>
      </c>
      <c r="I116" t="s">
        <v>26</v>
      </c>
      <c r="J116" t="s">
        <v>26</v>
      </c>
      <c r="K116" t="s">
        <v>27</v>
      </c>
    </row>
    <row r="117" spans="1:11" x14ac:dyDescent="0.25">
      <c r="A117" t="s">
        <v>21</v>
      </c>
      <c r="B117" t="s">
        <v>23</v>
      </c>
      <c r="C117">
        <v>2892</v>
      </c>
      <c r="D117" t="s">
        <v>42</v>
      </c>
      <c r="E117" s="3">
        <v>45162</v>
      </c>
      <c r="F117">
        <v>1000</v>
      </c>
      <c r="G117">
        <v>26.55</v>
      </c>
      <c r="H117">
        <v>26572</v>
      </c>
      <c r="I117" t="s">
        <v>26</v>
      </c>
      <c r="J117" t="s">
        <v>26</v>
      </c>
      <c r="K117" t="s">
        <v>27</v>
      </c>
    </row>
    <row r="118" spans="1:11" x14ac:dyDescent="0.25">
      <c r="A118" t="s">
        <v>21</v>
      </c>
      <c r="B118" t="s">
        <v>23</v>
      </c>
      <c r="C118">
        <v>2892</v>
      </c>
      <c r="D118" t="s">
        <v>42</v>
      </c>
      <c r="E118" s="3">
        <v>45189</v>
      </c>
      <c r="F118">
        <v>425</v>
      </c>
      <c r="G118">
        <v>0</v>
      </c>
      <c r="H118">
        <v>0</v>
      </c>
      <c r="I118" t="s">
        <v>26</v>
      </c>
      <c r="J118" t="s">
        <v>26</v>
      </c>
      <c r="K118" t="s">
        <v>27</v>
      </c>
    </row>
    <row r="119" spans="1:11" x14ac:dyDescent="0.25">
      <c r="A119" t="s">
        <v>21</v>
      </c>
      <c r="B119" t="s">
        <v>23</v>
      </c>
      <c r="C119">
        <v>4104</v>
      </c>
      <c r="D119" t="s">
        <v>43</v>
      </c>
      <c r="E119" s="3">
        <v>45271</v>
      </c>
      <c r="F119">
        <v>1000</v>
      </c>
      <c r="G119">
        <v>88.4</v>
      </c>
      <c r="H119">
        <v>88475</v>
      </c>
      <c r="I119" t="s">
        <v>26</v>
      </c>
      <c r="J119" t="s">
        <v>26</v>
      </c>
      <c r="K119" t="s">
        <v>27</v>
      </c>
    </row>
    <row r="120" spans="1:11" x14ac:dyDescent="0.25">
      <c r="A120" t="s">
        <v>21</v>
      </c>
      <c r="B120" t="s">
        <v>23</v>
      </c>
      <c r="C120">
        <v>5434</v>
      </c>
      <c r="D120" t="s">
        <v>44</v>
      </c>
      <c r="E120" s="3">
        <v>45055</v>
      </c>
      <c r="F120">
        <v>1000</v>
      </c>
      <c r="G120">
        <v>186.5</v>
      </c>
      <c r="H120">
        <v>186659</v>
      </c>
      <c r="I120" t="s">
        <v>26</v>
      </c>
      <c r="J120" t="s">
        <v>26</v>
      </c>
      <c r="K120" t="s">
        <v>27</v>
      </c>
    </row>
    <row r="121" spans="1:11" x14ac:dyDescent="0.25">
      <c r="A121" t="s">
        <v>21</v>
      </c>
      <c r="B121" t="s">
        <v>23</v>
      </c>
      <c r="C121">
        <v>5434</v>
      </c>
      <c r="D121" t="s">
        <v>44</v>
      </c>
      <c r="E121" s="3">
        <v>45114</v>
      </c>
      <c r="F121">
        <v>300</v>
      </c>
      <c r="G121">
        <v>178</v>
      </c>
      <c r="H121">
        <v>53445</v>
      </c>
      <c r="I121" t="s">
        <v>26</v>
      </c>
      <c r="J121" t="s">
        <v>26</v>
      </c>
      <c r="K121" t="s">
        <v>27</v>
      </c>
    </row>
    <row r="122" spans="1:11" x14ac:dyDescent="0.25">
      <c r="A122" t="s">
        <v>21</v>
      </c>
      <c r="B122" t="s">
        <v>23</v>
      </c>
      <c r="C122">
        <v>5434</v>
      </c>
      <c r="D122" t="s">
        <v>44</v>
      </c>
      <c r="E122" s="3">
        <v>45139</v>
      </c>
      <c r="F122">
        <v>28</v>
      </c>
      <c r="G122">
        <v>0</v>
      </c>
      <c r="H122">
        <v>0</v>
      </c>
      <c r="I122" t="s">
        <v>26</v>
      </c>
      <c r="J122" t="s">
        <v>26</v>
      </c>
      <c r="K122" t="s">
        <v>27</v>
      </c>
    </row>
    <row r="123" spans="1:11" x14ac:dyDescent="0.25">
      <c r="A123" t="s">
        <v>21</v>
      </c>
      <c r="B123" t="s">
        <v>23</v>
      </c>
      <c r="C123">
        <v>5871</v>
      </c>
      <c r="D123" t="s">
        <v>45</v>
      </c>
      <c r="E123" s="3">
        <v>45014</v>
      </c>
      <c r="F123">
        <v>1000</v>
      </c>
      <c r="G123">
        <v>227</v>
      </c>
      <c r="H123">
        <v>227194</v>
      </c>
      <c r="I123" t="s">
        <v>26</v>
      </c>
      <c r="J123" t="s">
        <v>26</v>
      </c>
      <c r="K123" t="s">
        <v>27</v>
      </c>
    </row>
    <row r="124" spans="1:11" x14ac:dyDescent="0.25">
      <c r="A124" t="s">
        <v>21</v>
      </c>
      <c r="B124" t="s">
        <v>23</v>
      </c>
      <c r="C124">
        <v>5871</v>
      </c>
      <c r="D124" t="s">
        <v>45</v>
      </c>
      <c r="E124" s="3">
        <v>45062</v>
      </c>
      <c r="F124">
        <v>500</v>
      </c>
      <c r="G124">
        <v>207</v>
      </c>
      <c r="H124">
        <v>103588</v>
      </c>
      <c r="I124" t="s">
        <v>26</v>
      </c>
      <c r="J124" t="s">
        <v>26</v>
      </c>
      <c r="K124" t="s">
        <v>27</v>
      </c>
    </row>
    <row r="125" spans="1:11" x14ac:dyDescent="0.25">
      <c r="A125" t="s">
        <v>21</v>
      </c>
      <c r="B125" t="s">
        <v>23</v>
      </c>
      <c r="C125">
        <v>5871</v>
      </c>
      <c r="D125" t="s">
        <v>45</v>
      </c>
      <c r="E125" s="3">
        <v>45071</v>
      </c>
      <c r="F125">
        <v>300</v>
      </c>
      <c r="G125">
        <v>206</v>
      </c>
      <c r="H125">
        <v>61852</v>
      </c>
      <c r="I125" t="s">
        <v>26</v>
      </c>
      <c r="J125" t="s">
        <v>26</v>
      </c>
      <c r="K125" t="s">
        <v>27</v>
      </c>
    </row>
    <row r="126" spans="1:11" x14ac:dyDescent="0.25">
      <c r="A126" t="s">
        <v>21</v>
      </c>
      <c r="B126" t="s">
        <v>23</v>
      </c>
      <c r="C126">
        <v>5871</v>
      </c>
      <c r="D126" t="s">
        <v>45</v>
      </c>
      <c r="E126" s="3">
        <v>45072</v>
      </c>
      <c r="F126">
        <v>200</v>
      </c>
      <c r="G126">
        <v>207</v>
      </c>
      <c r="H126">
        <v>41435</v>
      </c>
      <c r="I126" t="s">
        <v>26</v>
      </c>
      <c r="J126" t="s">
        <v>26</v>
      </c>
      <c r="K126" t="s">
        <v>27</v>
      </c>
    </row>
    <row r="127" spans="1:11" x14ac:dyDescent="0.25">
      <c r="A127" t="s">
        <v>21</v>
      </c>
      <c r="B127" t="s">
        <v>23</v>
      </c>
      <c r="C127">
        <v>5871</v>
      </c>
      <c r="D127" t="s">
        <v>45</v>
      </c>
      <c r="E127" s="3">
        <v>45098</v>
      </c>
      <c r="F127">
        <v>1000</v>
      </c>
      <c r="G127">
        <v>201.5</v>
      </c>
      <c r="H127">
        <v>201672</v>
      </c>
      <c r="I127" t="s">
        <v>26</v>
      </c>
      <c r="J127" t="s">
        <v>26</v>
      </c>
      <c r="K127" t="s">
        <v>27</v>
      </c>
    </row>
    <row r="128" spans="1:11" x14ac:dyDescent="0.25">
      <c r="A128" t="s">
        <v>21</v>
      </c>
      <c r="B128" t="s">
        <v>23</v>
      </c>
      <c r="C128">
        <v>5871</v>
      </c>
      <c r="D128" t="s">
        <v>45</v>
      </c>
      <c r="E128" s="3">
        <v>45147</v>
      </c>
      <c r="F128">
        <v>100</v>
      </c>
      <c r="G128">
        <v>186.5</v>
      </c>
      <c r="H128">
        <v>18665</v>
      </c>
      <c r="I128" t="s">
        <v>26</v>
      </c>
      <c r="J128" t="s">
        <v>26</v>
      </c>
      <c r="K128" t="s">
        <v>27</v>
      </c>
    </row>
    <row r="129" spans="1:11" x14ac:dyDescent="0.25">
      <c r="A129" t="s">
        <v>21</v>
      </c>
      <c r="B129" t="s">
        <v>23</v>
      </c>
      <c r="C129">
        <v>5871</v>
      </c>
      <c r="D129" t="s">
        <v>45</v>
      </c>
      <c r="E129" s="3">
        <v>45152</v>
      </c>
      <c r="F129">
        <v>1000</v>
      </c>
      <c r="G129">
        <v>174.5</v>
      </c>
      <c r="H129">
        <v>174649</v>
      </c>
      <c r="I129" t="s">
        <v>26</v>
      </c>
      <c r="J129" t="s">
        <v>26</v>
      </c>
      <c r="K129" t="s">
        <v>27</v>
      </c>
    </row>
    <row r="130" spans="1:11" x14ac:dyDescent="0.25">
      <c r="A130" t="s">
        <v>21</v>
      </c>
      <c r="B130" t="s">
        <v>23</v>
      </c>
      <c r="C130">
        <v>5871</v>
      </c>
      <c r="D130" t="s">
        <v>45</v>
      </c>
      <c r="E130" s="3">
        <v>45169</v>
      </c>
      <c r="F130">
        <v>60</v>
      </c>
      <c r="G130">
        <v>0</v>
      </c>
      <c r="H130">
        <v>0</v>
      </c>
      <c r="I130" t="s">
        <v>26</v>
      </c>
      <c r="J130" t="s">
        <v>26</v>
      </c>
      <c r="K130" t="s">
        <v>27</v>
      </c>
    </row>
    <row r="131" spans="1:11" x14ac:dyDescent="0.25">
      <c r="A131" t="s">
        <v>21</v>
      </c>
      <c r="B131" t="s">
        <v>23</v>
      </c>
      <c r="C131">
        <v>5871</v>
      </c>
      <c r="D131" t="s">
        <v>45</v>
      </c>
      <c r="E131" s="3">
        <v>45176</v>
      </c>
      <c r="F131">
        <v>300</v>
      </c>
      <c r="G131">
        <v>176</v>
      </c>
      <c r="H131">
        <v>52845</v>
      </c>
      <c r="I131" t="s">
        <v>26</v>
      </c>
      <c r="J131" t="s">
        <v>26</v>
      </c>
      <c r="K131" t="s">
        <v>27</v>
      </c>
    </row>
    <row r="132" spans="1:11" x14ac:dyDescent="0.25">
      <c r="A132" t="s">
        <v>21</v>
      </c>
      <c r="B132" t="s">
        <v>23</v>
      </c>
      <c r="C132">
        <v>5871</v>
      </c>
      <c r="D132" t="s">
        <v>45</v>
      </c>
      <c r="E132" s="3">
        <v>45219</v>
      </c>
      <c r="F132">
        <v>500</v>
      </c>
      <c r="G132">
        <v>175.5</v>
      </c>
      <c r="H132">
        <v>87825</v>
      </c>
      <c r="I132" t="s">
        <v>26</v>
      </c>
      <c r="J132" t="s">
        <v>26</v>
      </c>
      <c r="K132" t="s">
        <v>27</v>
      </c>
    </row>
    <row r="133" spans="1:11" x14ac:dyDescent="0.25">
      <c r="A133" t="s">
        <v>21</v>
      </c>
      <c r="B133" t="s">
        <v>23</v>
      </c>
      <c r="C133">
        <v>5871</v>
      </c>
      <c r="D133" t="s">
        <v>45</v>
      </c>
      <c r="E133" s="3">
        <v>45225</v>
      </c>
      <c r="F133">
        <v>300</v>
      </c>
      <c r="G133">
        <v>171.5</v>
      </c>
      <c r="H133">
        <v>51493</v>
      </c>
      <c r="I133" t="s">
        <v>26</v>
      </c>
      <c r="J133" t="s">
        <v>26</v>
      </c>
      <c r="K133" t="s">
        <v>27</v>
      </c>
    </row>
    <row r="134" spans="1:11" x14ac:dyDescent="0.25">
      <c r="A134" t="s">
        <v>21</v>
      </c>
      <c r="B134" t="s">
        <v>23</v>
      </c>
      <c r="C134">
        <v>5871</v>
      </c>
      <c r="D134" t="s">
        <v>45</v>
      </c>
      <c r="E134" s="3">
        <v>45229</v>
      </c>
      <c r="F134">
        <v>100</v>
      </c>
      <c r="G134">
        <v>178</v>
      </c>
      <c r="H134">
        <v>17815</v>
      </c>
      <c r="I134" t="s">
        <v>26</v>
      </c>
      <c r="J134" t="s">
        <v>26</v>
      </c>
      <c r="K134" t="s">
        <v>27</v>
      </c>
    </row>
    <row r="135" spans="1:11" x14ac:dyDescent="0.25">
      <c r="A135" t="s">
        <v>21</v>
      </c>
      <c r="B135" t="s">
        <v>23</v>
      </c>
      <c r="C135">
        <v>5871</v>
      </c>
      <c r="D135" t="s">
        <v>45</v>
      </c>
      <c r="E135" s="3">
        <v>45239</v>
      </c>
      <c r="F135">
        <v>100</v>
      </c>
      <c r="G135">
        <v>178.5</v>
      </c>
      <c r="H135">
        <v>17865</v>
      </c>
      <c r="I135" t="s">
        <v>26</v>
      </c>
      <c r="J135" t="s">
        <v>26</v>
      </c>
      <c r="K135" t="s">
        <v>27</v>
      </c>
    </row>
    <row r="136" spans="1:11" x14ac:dyDescent="0.25">
      <c r="A136" t="s">
        <v>21</v>
      </c>
      <c r="B136" t="s">
        <v>23</v>
      </c>
      <c r="C136">
        <v>5871</v>
      </c>
      <c r="D136" t="s">
        <v>45</v>
      </c>
      <c r="E136" s="3">
        <v>45244</v>
      </c>
      <c r="F136">
        <v>100</v>
      </c>
      <c r="G136">
        <v>173.5</v>
      </c>
      <c r="H136">
        <v>17364</v>
      </c>
      <c r="I136" t="s">
        <v>26</v>
      </c>
      <c r="J136" t="s">
        <v>26</v>
      </c>
      <c r="K136" t="s">
        <v>27</v>
      </c>
    </row>
    <row r="137" spans="1:11" x14ac:dyDescent="0.25">
      <c r="A137" t="s">
        <v>21</v>
      </c>
      <c r="B137" t="s">
        <v>23</v>
      </c>
      <c r="C137">
        <v>5871</v>
      </c>
      <c r="D137" t="s">
        <v>45</v>
      </c>
      <c r="E137" s="3">
        <v>45253</v>
      </c>
      <c r="F137">
        <v>440</v>
      </c>
      <c r="G137">
        <v>181.5</v>
      </c>
      <c r="H137">
        <v>79928</v>
      </c>
      <c r="I137" t="s">
        <v>26</v>
      </c>
      <c r="J137" t="s">
        <v>26</v>
      </c>
      <c r="K137" t="s">
        <v>27</v>
      </c>
    </row>
    <row r="138" spans="1:11" x14ac:dyDescent="0.25">
      <c r="A138" t="s">
        <v>21</v>
      </c>
      <c r="B138" t="s">
        <v>23</v>
      </c>
      <c r="C138">
        <v>5871</v>
      </c>
      <c r="D138" t="s">
        <v>45</v>
      </c>
      <c r="E138" s="3">
        <v>45261</v>
      </c>
      <c r="F138">
        <v>1000</v>
      </c>
      <c r="G138">
        <v>183</v>
      </c>
      <c r="H138">
        <v>183156</v>
      </c>
      <c r="I138" t="s">
        <v>26</v>
      </c>
      <c r="J138" t="s">
        <v>26</v>
      </c>
      <c r="K138" t="s">
        <v>27</v>
      </c>
    </row>
    <row r="139" spans="1:11" x14ac:dyDescent="0.25">
      <c r="A139" t="s">
        <v>21</v>
      </c>
      <c r="B139" t="s">
        <v>23</v>
      </c>
      <c r="C139">
        <v>5871</v>
      </c>
      <c r="D139" t="s">
        <v>45</v>
      </c>
      <c r="E139" s="3">
        <v>45321</v>
      </c>
      <c r="F139">
        <v>150</v>
      </c>
      <c r="G139">
        <v>175.5</v>
      </c>
      <c r="H139">
        <v>26347</v>
      </c>
      <c r="I139" t="s">
        <v>26</v>
      </c>
      <c r="J139" t="s">
        <v>26</v>
      </c>
      <c r="K139" t="s">
        <v>27</v>
      </c>
    </row>
    <row r="140" spans="1:11" x14ac:dyDescent="0.25">
      <c r="A140" t="s">
        <v>21</v>
      </c>
      <c r="B140" t="s">
        <v>23</v>
      </c>
      <c r="C140">
        <v>5871</v>
      </c>
      <c r="D140" t="s">
        <v>45</v>
      </c>
      <c r="E140" s="3">
        <v>45322</v>
      </c>
      <c r="F140">
        <v>150</v>
      </c>
      <c r="G140">
        <v>174.5</v>
      </c>
      <c r="H140">
        <v>26197</v>
      </c>
      <c r="I140" t="s">
        <v>26</v>
      </c>
      <c r="J140" t="s">
        <v>26</v>
      </c>
      <c r="K140" t="s">
        <v>27</v>
      </c>
    </row>
    <row r="141" spans="1:11" x14ac:dyDescent="0.25">
      <c r="A141" t="s">
        <v>21</v>
      </c>
      <c r="B141" t="s">
        <v>23</v>
      </c>
      <c r="C141">
        <v>6605</v>
      </c>
      <c r="D141" t="s">
        <v>46</v>
      </c>
      <c r="E141" s="3">
        <v>45285</v>
      </c>
      <c r="F141">
        <v>1000</v>
      </c>
      <c r="G141">
        <v>145.5</v>
      </c>
      <c r="H141">
        <v>145624</v>
      </c>
      <c r="I141" t="s">
        <v>26</v>
      </c>
      <c r="J141" t="s">
        <v>26</v>
      </c>
      <c r="K141" t="s">
        <v>27</v>
      </c>
    </row>
    <row r="142" spans="1:11" x14ac:dyDescent="0.25">
      <c r="A142" t="s">
        <v>21</v>
      </c>
      <c r="B142" t="s">
        <v>23</v>
      </c>
      <c r="C142">
        <v>9942</v>
      </c>
      <c r="D142" t="s">
        <v>47</v>
      </c>
      <c r="E142" s="3">
        <v>45271</v>
      </c>
      <c r="F142">
        <v>1000</v>
      </c>
      <c r="G142">
        <v>132.5</v>
      </c>
      <c r="H142">
        <v>132613</v>
      </c>
      <c r="I142" t="s">
        <v>26</v>
      </c>
      <c r="J142" t="s">
        <v>26</v>
      </c>
      <c r="K142" t="s">
        <v>27</v>
      </c>
    </row>
    <row r="143" spans="1:11" x14ac:dyDescent="0.25">
      <c r="A143" t="s">
        <v>21</v>
      </c>
      <c r="B143" t="s">
        <v>23</v>
      </c>
      <c r="C143" t="s">
        <v>49</v>
      </c>
      <c r="D143" t="s">
        <v>50</v>
      </c>
      <c r="E143" s="3">
        <v>45232</v>
      </c>
      <c r="F143">
        <v>5000</v>
      </c>
      <c r="G143">
        <v>31.74</v>
      </c>
      <c r="H143">
        <v>158835</v>
      </c>
      <c r="I143" t="s">
        <v>26</v>
      </c>
      <c r="J143" t="s">
        <v>26</v>
      </c>
      <c r="K143" t="s">
        <v>27</v>
      </c>
    </row>
    <row r="144" spans="1:11" x14ac:dyDescent="0.25">
      <c r="A144" t="s">
        <v>21</v>
      </c>
      <c r="B144" t="s">
        <v>23</v>
      </c>
      <c r="C144" t="s">
        <v>49</v>
      </c>
      <c r="D144" t="s">
        <v>50</v>
      </c>
      <c r="E144" s="3">
        <v>45236</v>
      </c>
      <c r="F144">
        <v>918</v>
      </c>
      <c r="G144">
        <v>32.270000000000003</v>
      </c>
      <c r="H144">
        <v>29624</v>
      </c>
      <c r="I144" t="s">
        <v>26</v>
      </c>
      <c r="J144" t="s">
        <v>26</v>
      </c>
      <c r="K144" t="s">
        <v>27</v>
      </c>
    </row>
    <row r="145" spans="1:11" x14ac:dyDescent="0.25">
      <c r="A145" t="s">
        <v>21</v>
      </c>
      <c r="B145" t="s">
        <v>23</v>
      </c>
      <c r="C145" t="s">
        <v>49</v>
      </c>
      <c r="D145" t="s">
        <v>50</v>
      </c>
      <c r="E145" s="3">
        <v>45238</v>
      </c>
      <c r="F145">
        <v>2000</v>
      </c>
      <c r="G145">
        <v>32.520000000000003</v>
      </c>
      <c r="H145">
        <v>65095</v>
      </c>
      <c r="I145" t="s">
        <v>26</v>
      </c>
      <c r="J145" t="s">
        <v>26</v>
      </c>
      <c r="K145" t="s">
        <v>27</v>
      </c>
    </row>
    <row r="146" spans="1:11" x14ac:dyDescent="0.25">
      <c r="A146" t="s">
        <v>21</v>
      </c>
      <c r="B146" t="s">
        <v>23</v>
      </c>
      <c r="C146" t="s">
        <v>49</v>
      </c>
      <c r="D146" t="s">
        <v>50</v>
      </c>
      <c r="E146" s="3">
        <v>45243</v>
      </c>
      <c r="F146">
        <v>1000</v>
      </c>
      <c r="G146">
        <v>32.57</v>
      </c>
      <c r="H146">
        <v>32597</v>
      </c>
      <c r="I146" t="s">
        <v>26</v>
      </c>
      <c r="J146" t="s">
        <v>26</v>
      </c>
      <c r="K146" t="s">
        <v>27</v>
      </c>
    </row>
    <row r="147" spans="1:11" x14ac:dyDescent="0.25">
      <c r="A147" t="s">
        <v>21</v>
      </c>
      <c r="B147" t="s">
        <v>23</v>
      </c>
      <c r="C147" t="s">
        <v>49</v>
      </c>
      <c r="D147" t="s">
        <v>50</v>
      </c>
      <c r="E147" s="3">
        <v>45257</v>
      </c>
      <c r="F147">
        <v>952</v>
      </c>
      <c r="G147">
        <v>33.21</v>
      </c>
      <c r="H147">
        <v>31616</v>
      </c>
      <c r="I147" t="s">
        <v>26</v>
      </c>
      <c r="J147" t="s">
        <v>26</v>
      </c>
      <c r="K147" t="s">
        <v>27</v>
      </c>
    </row>
    <row r="148" spans="1:11" x14ac:dyDescent="0.25">
      <c r="A148" t="s">
        <v>21</v>
      </c>
      <c r="B148" t="s">
        <v>23</v>
      </c>
      <c r="C148" t="s">
        <v>49</v>
      </c>
      <c r="D148" t="s">
        <v>50</v>
      </c>
      <c r="E148" s="3">
        <v>45266</v>
      </c>
      <c r="F148">
        <v>909</v>
      </c>
      <c r="G148">
        <v>34.86</v>
      </c>
      <c r="H148">
        <v>31688</v>
      </c>
      <c r="I148" t="s">
        <v>26</v>
      </c>
      <c r="J148" t="s">
        <v>26</v>
      </c>
      <c r="K148" t="s">
        <v>27</v>
      </c>
    </row>
    <row r="149" spans="1:11" x14ac:dyDescent="0.25">
      <c r="A149" t="s">
        <v>21</v>
      </c>
      <c r="B149" t="s">
        <v>23</v>
      </c>
      <c r="C149" t="s">
        <v>49</v>
      </c>
      <c r="D149" t="s">
        <v>50</v>
      </c>
      <c r="E149" s="3">
        <v>45286</v>
      </c>
      <c r="F149">
        <v>904</v>
      </c>
      <c r="G149">
        <v>35.380000000000003</v>
      </c>
      <c r="H149">
        <v>31984</v>
      </c>
      <c r="I149" t="s">
        <v>26</v>
      </c>
      <c r="J149" t="s">
        <v>26</v>
      </c>
      <c r="K149" t="s">
        <v>27</v>
      </c>
    </row>
    <row r="150" spans="1:11" x14ac:dyDescent="0.25">
      <c r="A150" t="s">
        <v>21</v>
      </c>
      <c r="B150" t="s">
        <v>23</v>
      </c>
      <c r="C150" t="s">
        <v>49</v>
      </c>
      <c r="D150" t="s">
        <v>50</v>
      </c>
      <c r="E150" s="3">
        <v>45299</v>
      </c>
      <c r="F150">
        <v>1000</v>
      </c>
      <c r="G150">
        <v>34.24</v>
      </c>
      <c r="H150">
        <v>34269</v>
      </c>
      <c r="I150" t="s">
        <v>26</v>
      </c>
      <c r="J150" t="s">
        <v>26</v>
      </c>
      <c r="K150" t="s">
        <v>27</v>
      </c>
    </row>
    <row r="151" spans="1:11" x14ac:dyDescent="0.25">
      <c r="A151" t="s">
        <v>21</v>
      </c>
      <c r="B151" t="s">
        <v>23</v>
      </c>
      <c r="C151" t="s">
        <v>49</v>
      </c>
      <c r="D151" t="s">
        <v>50</v>
      </c>
      <c r="E151" s="3">
        <v>45299</v>
      </c>
      <c r="F151">
        <v>924</v>
      </c>
      <c r="G151">
        <v>34.21</v>
      </c>
      <c r="H151">
        <v>31611</v>
      </c>
      <c r="I151" t="s">
        <v>26</v>
      </c>
      <c r="J151" t="s">
        <v>26</v>
      </c>
      <c r="K151" t="s">
        <v>27</v>
      </c>
    </row>
    <row r="152" spans="1:11" x14ac:dyDescent="0.25">
      <c r="A152" t="s">
        <v>21</v>
      </c>
      <c r="B152" t="s">
        <v>23</v>
      </c>
      <c r="C152" t="s">
        <v>49</v>
      </c>
      <c r="D152" t="s">
        <v>50</v>
      </c>
      <c r="E152" s="3">
        <v>45317</v>
      </c>
      <c r="F152">
        <v>912</v>
      </c>
      <c r="G152">
        <v>34.75</v>
      </c>
      <c r="H152">
        <v>31693</v>
      </c>
      <c r="I152" t="s">
        <v>26</v>
      </c>
      <c r="J152" t="s">
        <v>26</v>
      </c>
      <c r="K152" t="s">
        <v>27</v>
      </c>
    </row>
    <row r="153" spans="1:11" x14ac:dyDescent="0.25">
      <c r="A153" t="s">
        <v>21</v>
      </c>
      <c r="B153" t="s">
        <v>23</v>
      </c>
      <c r="C153" t="s">
        <v>49</v>
      </c>
      <c r="D153" t="s">
        <v>50</v>
      </c>
      <c r="E153" s="3">
        <v>45323</v>
      </c>
      <c r="F153">
        <v>10000</v>
      </c>
      <c r="G153">
        <v>35.200000000000003</v>
      </c>
      <c r="H153">
        <v>352300</v>
      </c>
      <c r="I153" t="s">
        <v>26</v>
      </c>
      <c r="J153" t="s">
        <v>26</v>
      </c>
      <c r="K153" t="s">
        <v>27</v>
      </c>
    </row>
    <row r="154" spans="1:11" x14ac:dyDescent="0.25">
      <c r="A154" t="s">
        <v>21</v>
      </c>
      <c r="B154" t="s">
        <v>23</v>
      </c>
      <c r="C154" t="s">
        <v>49</v>
      </c>
      <c r="D154" t="s">
        <v>50</v>
      </c>
      <c r="E154" s="3">
        <v>45323</v>
      </c>
      <c r="F154">
        <v>12000</v>
      </c>
      <c r="G154">
        <v>35.21</v>
      </c>
      <c r="H154">
        <v>422882</v>
      </c>
      <c r="I154" t="s">
        <v>26</v>
      </c>
      <c r="J154" t="s">
        <v>26</v>
      </c>
      <c r="K154" t="s">
        <v>27</v>
      </c>
    </row>
    <row r="155" spans="1:11" x14ac:dyDescent="0.25">
      <c r="A155" t="s">
        <v>21</v>
      </c>
      <c r="B155" t="s">
        <v>23</v>
      </c>
      <c r="C155" t="s">
        <v>51</v>
      </c>
      <c r="D155" t="s">
        <v>52</v>
      </c>
      <c r="E155" s="3">
        <v>45294</v>
      </c>
      <c r="F155">
        <v>20000</v>
      </c>
      <c r="G155">
        <v>15.89</v>
      </c>
      <c r="H155">
        <v>318071</v>
      </c>
      <c r="I155" t="s">
        <v>26</v>
      </c>
      <c r="J155" t="s">
        <v>26</v>
      </c>
      <c r="K155" t="s">
        <v>27</v>
      </c>
    </row>
    <row r="156" spans="1:11" x14ac:dyDescent="0.25">
      <c r="A156" t="s">
        <v>21</v>
      </c>
      <c r="B156" t="s">
        <v>23</v>
      </c>
      <c r="C156" t="s">
        <v>51</v>
      </c>
      <c r="D156" t="s">
        <v>52</v>
      </c>
      <c r="E156" s="3">
        <v>45294</v>
      </c>
      <c r="F156">
        <v>30000</v>
      </c>
      <c r="G156">
        <v>15.91</v>
      </c>
      <c r="H156">
        <v>477708</v>
      </c>
      <c r="I156" t="s">
        <v>26</v>
      </c>
      <c r="J156" t="s">
        <v>26</v>
      </c>
      <c r="K156" t="s">
        <v>27</v>
      </c>
    </row>
    <row r="157" spans="1:11" x14ac:dyDescent="0.25">
      <c r="A157" t="s">
        <v>21</v>
      </c>
      <c r="B157" t="s">
        <v>23</v>
      </c>
      <c r="C157" t="s">
        <v>51</v>
      </c>
      <c r="D157" t="s">
        <v>52</v>
      </c>
      <c r="E157" s="3">
        <v>45295</v>
      </c>
      <c r="F157">
        <v>3000</v>
      </c>
      <c r="G157">
        <v>15.89</v>
      </c>
      <c r="H157">
        <v>47710</v>
      </c>
      <c r="I157" t="s">
        <v>26</v>
      </c>
      <c r="J157" t="s">
        <v>26</v>
      </c>
      <c r="K157" t="s">
        <v>27</v>
      </c>
    </row>
    <row r="158" spans="1:11" x14ac:dyDescent="0.25">
      <c r="A158" t="s">
        <v>21</v>
      </c>
      <c r="B158" t="s">
        <v>23</v>
      </c>
      <c r="C158" t="s">
        <v>51</v>
      </c>
      <c r="D158" t="s">
        <v>52</v>
      </c>
      <c r="E158" s="3">
        <v>45296</v>
      </c>
      <c r="F158">
        <v>1000</v>
      </c>
      <c r="G158">
        <v>15.82</v>
      </c>
      <c r="H158">
        <v>15840</v>
      </c>
      <c r="I158" t="s">
        <v>26</v>
      </c>
      <c r="J158" t="s">
        <v>26</v>
      </c>
      <c r="K158" t="s">
        <v>27</v>
      </c>
    </row>
    <row r="159" spans="1:11" x14ac:dyDescent="0.25">
      <c r="A159" t="s">
        <v>21</v>
      </c>
      <c r="B159" t="s">
        <v>23</v>
      </c>
      <c r="C159" t="s">
        <v>51</v>
      </c>
      <c r="D159" t="s">
        <v>52</v>
      </c>
      <c r="E159" s="3">
        <v>45310</v>
      </c>
      <c r="F159">
        <v>1000</v>
      </c>
      <c r="G159">
        <v>15.74</v>
      </c>
      <c r="H159">
        <v>15760</v>
      </c>
      <c r="I159" t="s">
        <v>26</v>
      </c>
      <c r="J159" t="s">
        <v>26</v>
      </c>
      <c r="K159" t="s">
        <v>27</v>
      </c>
    </row>
    <row r="160" spans="1:11" x14ac:dyDescent="0.25">
      <c r="A160" t="s">
        <v>21</v>
      </c>
      <c r="B160" t="s">
        <v>23</v>
      </c>
      <c r="C160" t="s">
        <v>51</v>
      </c>
      <c r="D160" t="s">
        <v>52</v>
      </c>
      <c r="E160" s="3">
        <v>45315</v>
      </c>
      <c r="F160">
        <v>1000</v>
      </c>
      <c r="G160">
        <v>15.67</v>
      </c>
      <c r="H160">
        <v>15690</v>
      </c>
      <c r="I160" t="s">
        <v>26</v>
      </c>
      <c r="J160" t="s">
        <v>26</v>
      </c>
      <c r="K160" t="s">
        <v>27</v>
      </c>
    </row>
    <row r="161" spans="1:11" x14ac:dyDescent="0.25">
      <c r="A161" t="s">
        <v>21</v>
      </c>
      <c r="B161" t="s">
        <v>23</v>
      </c>
      <c r="C161" t="s">
        <v>51</v>
      </c>
      <c r="D161" t="s">
        <v>52</v>
      </c>
      <c r="E161" s="3">
        <v>45323</v>
      </c>
      <c r="F161">
        <v>50000</v>
      </c>
      <c r="G161">
        <v>15.94</v>
      </c>
      <c r="H161">
        <v>797681</v>
      </c>
      <c r="I161" t="s">
        <v>26</v>
      </c>
      <c r="J161" t="s">
        <v>26</v>
      </c>
      <c r="K161" t="s">
        <v>27</v>
      </c>
    </row>
    <row r="162" spans="1:11" x14ac:dyDescent="0.25">
      <c r="A162" t="s">
        <v>21</v>
      </c>
      <c r="B162" t="s">
        <v>23</v>
      </c>
      <c r="C162">
        <v>1584</v>
      </c>
      <c r="D162" t="s">
        <v>53</v>
      </c>
      <c r="E162" s="3">
        <v>45274</v>
      </c>
      <c r="F162">
        <v>1000</v>
      </c>
      <c r="G162">
        <v>37.4</v>
      </c>
      <c r="H162">
        <v>37431</v>
      </c>
      <c r="I162" t="s">
        <v>26</v>
      </c>
      <c r="J162" t="s">
        <v>26</v>
      </c>
      <c r="K162" t="s">
        <v>27</v>
      </c>
    </row>
    <row r="163" spans="1:11" x14ac:dyDescent="0.25">
      <c r="A163" t="s">
        <v>21</v>
      </c>
      <c r="B163" t="s">
        <v>23</v>
      </c>
      <c r="C163">
        <v>1584</v>
      </c>
      <c r="D163" t="s">
        <v>53</v>
      </c>
      <c r="E163" s="3">
        <v>45289</v>
      </c>
      <c r="F163">
        <v>1000</v>
      </c>
      <c r="G163">
        <v>35.75</v>
      </c>
      <c r="H163">
        <v>35780</v>
      </c>
      <c r="I163" t="s">
        <v>26</v>
      </c>
      <c r="J163" t="s">
        <v>26</v>
      </c>
      <c r="K163" t="s">
        <v>27</v>
      </c>
    </row>
    <row r="164" spans="1:11" x14ac:dyDescent="0.25">
      <c r="A164" t="s">
        <v>21</v>
      </c>
      <c r="B164" t="s">
        <v>23</v>
      </c>
      <c r="C164">
        <v>3078</v>
      </c>
      <c r="D164" t="s">
        <v>54</v>
      </c>
      <c r="E164" s="3">
        <v>45232</v>
      </c>
      <c r="F164">
        <v>1000</v>
      </c>
      <c r="G164">
        <v>82.5</v>
      </c>
      <c r="H164">
        <v>82570</v>
      </c>
      <c r="I164" t="s">
        <v>26</v>
      </c>
      <c r="J164" t="s">
        <v>26</v>
      </c>
      <c r="K164" t="s">
        <v>27</v>
      </c>
    </row>
    <row r="165" spans="1:11" x14ac:dyDescent="0.25">
      <c r="A165" t="s">
        <v>21</v>
      </c>
      <c r="B165" t="s">
        <v>23</v>
      </c>
      <c r="C165">
        <v>3078</v>
      </c>
      <c r="D165" t="s">
        <v>54</v>
      </c>
      <c r="E165" s="3">
        <v>45300</v>
      </c>
      <c r="F165">
        <v>1000</v>
      </c>
      <c r="G165">
        <v>79.2</v>
      </c>
      <c r="H165">
        <v>79267</v>
      </c>
      <c r="I165" t="s">
        <v>26</v>
      </c>
      <c r="J165" t="s">
        <v>26</v>
      </c>
      <c r="K165" t="s">
        <v>27</v>
      </c>
    </row>
    <row r="166" spans="1:11" x14ac:dyDescent="0.25">
      <c r="A166" t="s">
        <v>21</v>
      </c>
      <c r="B166" t="s">
        <v>23</v>
      </c>
      <c r="C166">
        <v>4506</v>
      </c>
      <c r="D166" t="s">
        <v>55</v>
      </c>
      <c r="E166" s="3">
        <v>45128</v>
      </c>
      <c r="F166">
        <v>1000</v>
      </c>
      <c r="G166">
        <v>80.099999999999994</v>
      </c>
      <c r="H166">
        <v>80168</v>
      </c>
      <c r="I166" t="s">
        <v>26</v>
      </c>
      <c r="J166" t="s">
        <v>26</v>
      </c>
      <c r="K166" t="s">
        <v>27</v>
      </c>
    </row>
    <row r="167" spans="1:11" x14ac:dyDescent="0.25">
      <c r="A167" t="s">
        <v>21</v>
      </c>
      <c r="B167" t="s">
        <v>23</v>
      </c>
      <c r="C167">
        <v>4743</v>
      </c>
      <c r="D167" t="s">
        <v>56</v>
      </c>
      <c r="E167" s="3">
        <v>45321</v>
      </c>
      <c r="F167">
        <v>200</v>
      </c>
      <c r="G167">
        <v>175.5</v>
      </c>
      <c r="H167">
        <v>35130</v>
      </c>
      <c r="I167" t="s">
        <v>26</v>
      </c>
      <c r="J167" t="s">
        <v>26</v>
      </c>
      <c r="K167" t="s">
        <v>27</v>
      </c>
    </row>
    <row r="168" spans="1:11" x14ac:dyDescent="0.25">
      <c r="A168" t="s">
        <v>21</v>
      </c>
      <c r="B168" t="s">
        <v>23</v>
      </c>
      <c r="C168">
        <v>6287</v>
      </c>
      <c r="D168" t="s">
        <v>57</v>
      </c>
      <c r="E168" s="3">
        <v>44728</v>
      </c>
      <c r="F168">
        <v>250</v>
      </c>
      <c r="G168">
        <v>8.6</v>
      </c>
      <c r="H168">
        <v>8620</v>
      </c>
      <c r="I168" t="s">
        <v>26</v>
      </c>
      <c r="J168" t="s">
        <v>26</v>
      </c>
      <c r="K168" t="s">
        <v>27</v>
      </c>
    </row>
    <row r="169" spans="1:11" x14ac:dyDescent="0.25">
      <c r="A169" t="s">
        <v>21</v>
      </c>
      <c r="B169" t="s">
        <v>23</v>
      </c>
      <c r="C169">
        <v>6287</v>
      </c>
      <c r="D169" t="s">
        <v>57</v>
      </c>
      <c r="E169" s="3">
        <v>44728</v>
      </c>
      <c r="F169">
        <v>1000</v>
      </c>
      <c r="G169">
        <v>8.6</v>
      </c>
      <c r="H169">
        <v>34429</v>
      </c>
      <c r="I169" t="s">
        <v>26</v>
      </c>
      <c r="J169" t="s">
        <v>26</v>
      </c>
      <c r="K169" t="s">
        <v>27</v>
      </c>
    </row>
    <row r="170" spans="1:11" x14ac:dyDescent="0.25">
      <c r="A170" t="s">
        <v>21</v>
      </c>
      <c r="B170" t="s">
        <v>23</v>
      </c>
      <c r="C170">
        <v>6287</v>
      </c>
      <c r="D170" t="s">
        <v>57</v>
      </c>
      <c r="E170" s="3">
        <v>44802</v>
      </c>
      <c r="F170">
        <v>500</v>
      </c>
      <c r="G170">
        <v>8</v>
      </c>
      <c r="H170">
        <v>16020</v>
      </c>
      <c r="I170" t="s">
        <v>26</v>
      </c>
      <c r="J170" t="s">
        <v>26</v>
      </c>
      <c r="K170" t="s">
        <v>27</v>
      </c>
    </row>
    <row r="171" spans="1:11" x14ac:dyDescent="0.25">
      <c r="A171" t="s">
        <v>21</v>
      </c>
      <c r="B171" t="s">
        <v>23</v>
      </c>
      <c r="C171">
        <v>6287</v>
      </c>
      <c r="D171" t="s">
        <v>57</v>
      </c>
      <c r="E171" s="3">
        <v>44811</v>
      </c>
      <c r="F171">
        <v>250</v>
      </c>
      <c r="G171">
        <v>8</v>
      </c>
      <c r="H171">
        <v>8020</v>
      </c>
      <c r="I171" t="s">
        <v>26</v>
      </c>
      <c r="J171" t="s">
        <v>26</v>
      </c>
      <c r="K171" t="s">
        <v>27</v>
      </c>
    </row>
    <row r="172" spans="1:11" x14ac:dyDescent="0.25">
      <c r="A172" s="34" t="s">
        <v>58</v>
      </c>
      <c r="B172" s="34"/>
      <c r="C172" s="34"/>
      <c r="D172" s="34"/>
      <c r="E172" s="34"/>
      <c r="F172" s="2">
        <v>273514</v>
      </c>
      <c r="H172" s="2">
        <v>7323166</v>
      </c>
      <c r="I172">
        <v>0</v>
      </c>
      <c r="J172">
        <v>0</v>
      </c>
    </row>
  </sheetData>
  <mergeCells count="1">
    <mergeCell ref="A172:E1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>
      <selection activeCell="E9" sqref="E9"/>
    </sheetView>
  </sheetViews>
  <sheetFormatPr defaultRowHeight="16.5" x14ac:dyDescent="0.25"/>
  <cols>
    <col min="1" max="1" width="13.5" bestFit="1" customWidth="1"/>
    <col min="2" max="2" width="7.5" bestFit="1" customWidth="1"/>
    <col min="3" max="3" width="5.5" bestFit="1" customWidth="1"/>
    <col min="4" max="4" width="7.75" bestFit="1" customWidth="1"/>
    <col min="5" max="5" width="20" bestFit="1" customWidth="1"/>
    <col min="6" max="6" width="11.75" hidden="1" customWidth="1"/>
    <col min="7" max="7" width="9.5" hidden="1" customWidth="1"/>
    <col min="8" max="8" width="11.625" hidden="1" customWidth="1"/>
    <col min="9" max="10" width="9.5" hidden="1" customWidth="1"/>
    <col min="11" max="11" width="7.5" hidden="1" customWidth="1"/>
    <col min="12" max="12" width="11.625" bestFit="1" customWidth="1"/>
    <col min="13" max="13" width="16.75" customWidth="1"/>
    <col min="14" max="14" width="9.5" bestFit="1" customWidth="1"/>
    <col min="15" max="15" width="8.625" bestFit="1" customWidth="1"/>
    <col min="16" max="18" width="7.5" bestFit="1" customWidth="1"/>
    <col min="19" max="19" width="11.625" bestFit="1" customWidth="1"/>
    <col min="20" max="20" width="9.5" bestFit="1" customWidth="1"/>
    <col min="21" max="21" width="11.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s="4" customFormat="1" x14ac:dyDescent="0.25">
      <c r="A2" s="4" t="s">
        <v>21</v>
      </c>
      <c r="B2" s="4" t="s">
        <v>22</v>
      </c>
      <c r="C2" s="4" t="s">
        <v>23</v>
      </c>
      <c r="D2" s="4">
        <v>50</v>
      </c>
      <c r="E2" s="4" t="s">
        <v>24</v>
      </c>
      <c r="F2" s="4" t="s">
        <v>25</v>
      </c>
      <c r="G2" s="4">
        <v>0</v>
      </c>
      <c r="H2" s="4">
        <v>730</v>
      </c>
      <c r="I2" s="4">
        <v>730</v>
      </c>
      <c r="J2" s="4">
        <v>135.75749999999999</v>
      </c>
      <c r="K2" s="4">
        <v>134.35</v>
      </c>
      <c r="L2" s="6">
        <v>98075.5</v>
      </c>
      <c r="M2" s="4">
        <v>99103</v>
      </c>
      <c r="N2" s="4">
        <v>-1264.5</v>
      </c>
      <c r="O2" s="5">
        <v>-1.2800000000000001E-2</v>
      </c>
      <c r="P2" s="4" t="s">
        <v>26</v>
      </c>
      <c r="Q2" s="4" t="s">
        <v>26</v>
      </c>
      <c r="R2" s="4" t="s">
        <v>26</v>
      </c>
      <c r="S2" s="4">
        <v>136.1</v>
      </c>
      <c r="T2" s="4" t="s">
        <v>27</v>
      </c>
      <c r="U2" s="4">
        <v>0</v>
      </c>
    </row>
    <row r="3" spans="1:21" x14ac:dyDescent="0.25">
      <c r="A3" t="s">
        <v>21</v>
      </c>
      <c r="B3" t="s">
        <v>22</v>
      </c>
      <c r="C3" t="s">
        <v>23</v>
      </c>
      <c r="D3">
        <v>56</v>
      </c>
      <c r="E3" t="s">
        <v>28</v>
      </c>
      <c r="F3" t="s">
        <v>25</v>
      </c>
      <c r="G3">
        <v>4000</v>
      </c>
      <c r="H3">
        <v>4625</v>
      </c>
      <c r="I3">
        <v>4625</v>
      </c>
      <c r="J3">
        <v>28.157800000000002</v>
      </c>
      <c r="K3">
        <v>36.299999999999997</v>
      </c>
      <c r="L3" s="6">
        <v>167887.5</v>
      </c>
      <c r="M3">
        <v>130230</v>
      </c>
      <c r="N3">
        <v>37251.5</v>
      </c>
      <c r="O3" s="1">
        <v>0.28599999999999998</v>
      </c>
      <c r="P3" t="s">
        <v>26</v>
      </c>
      <c r="Q3" t="s">
        <v>26</v>
      </c>
      <c r="R3" t="s">
        <v>26</v>
      </c>
      <c r="S3">
        <v>28.23</v>
      </c>
      <c r="T3" t="s">
        <v>27</v>
      </c>
      <c r="U3">
        <v>0</v>
      </c>
    </row>
    <row r="4" spans="1:21" s="4" customFormat="1" x14ac:dyDescent="0.25">
      <c r="A4" s="4" t="s">
        <v>21</v>
      </c>
      <c r="B4" s="4" t="s">
        <v>22</v>
      </c>
      <c r="C4" s="4" t="s">
        <v>23</v>
      </c>
      <c r="D4" s="4" t="s">
        <v>29</v>
      </c>
      <c r="E4" s="4" t="s">
        <v>30</v>
      </c>
      <c r="F4" s="4" t="s">
        <v>25</v>
      </c>
      <c r="G4" s="4">
        <v>4000</v>
      </c>
      <c r="H4" s="4">
        <v>4000</v>
      </c>
      <c r="I4" s="4">
        <v>4000</v>
      </c>
      <c r="J4" s="4" t="s">
        <v>26</v>
      </c>
      <c r="K4" s="4">
        <v>4.45</v>
      </c>
      <c r="L4" s="6">
        <v>17800</v>
      </c>
      <c r="M4" s="4" t="s">
        <v>26</v>
      </c>
      <c r="N4" s="4">
        <v>17758</v>
      </c>
      <c r="O4" s="4" t="s">
        <v>31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27</v>
      </c>
      <c r="U4" s="4">
        <v>0</v>
      </c>
    </row>
    <row r="5" spans="1:21" x14ac:dyDescent="0.25">
      <c r="A5" t="s">
        <v>21</v>
      </c>
      <c r="B5" t="s">
        <v>22</v>
      </c>
      <c r="C5" t="s">
        <v>23</v>
      </c>
      <c r="D5">
        <v>713</v>
      </c>
      <c r="E5" t="s">
        <v>32</v>
      </c>
      <c r="F5" t="s">
        <v>25</v>
      </c>
      <c r="G5">
        <v>3000</v>
      </c>
      <c r="H5">
        <v>3000</v>
      </c>
      <c r="I5">
        <v>3000</v>
      </c>
      <c r="J5">
        <v>46.305700000000002</v>
      </c>
      <c r="K5">
        <v>50.15</v>
      </c>
      <c r="L5" s="6">
        <v>150450</v>
      </c>
      <c r="M5">
        <v>138917</v>
      </c>
      <c r="N5">
        <v>11169</v>
      </c>
      <c r="O5" s="1">
        <v>8.0399999999999999E-2</v>
      </c>
      <c r="P5" t="s">
        <v>26</v>
      </c>
      <c r="Q5" t="s">
        <v>26</v>
      </c>
      <c r="R5" t="s">
        <v>26</v>
      </c>
      <c r="S5">
        <v>46.42</v>
      </c>
      <c r="T5" t="s">
        <v>27</v>
      </c>
      <c r="U5">
        <v>0</v>
      </c>
    </row>
    <row r="6" spans="1:21" x14ac:dyDescent="0.25">
      <c r="A6" t="s">
        <v>21</v>
      </c>
      <c r="B6" t="s">
        <v>22</v>
      </c>
      <c r="C6" t="s">
        <v>23</v>
      </c>
      <c r="D6">
        <v>878</v>
      </c>
      <c r="E6" t="s">
        <v>33</v>
      </c>
      <c r="F6" t="s">
        <v>25</v>
      </c>
      <c r="G6">
        <v>11000</v>
      </c>
      <c r="H6">
        <v>11100</v>
      </c>
      <c r="I6">
        <v>11100</v>
      </c>
      <c r="J6">
        <v>18.614000000000001</v>
      </c>
      <c r="K6">
        <v>21.71</v>
      </c>
      <c r="L6" s="6">
        <v>240981</v>
      </c>
      <c r="M6">
        <v>206615</v>
      </c>
      <c r="N6">
        <v>33783</v>
      </c>
      <c r="O6" s="1">
        <v>0.16350000000000001</v>
      </c>
      <c r="P6" t="s">
        <v>26</v>
      </c>
      <c r="Q6" t="s">
        <v>26</v>
      </c>
      <c r="R6" t="s">
        <v>26</v>
      </c>
      <c r="S6">
        <v>18.66</v>
      </c>
      <c r="T6" t="s">
        <v>27</v>
      </c>
      <c r="U6">
        <v>0</v>
      </c>
    </row>
    <row r="7" spans="1:21" x14ac:dyDescent="0.25">
      <c r="A7" t="s">
        <v>21</v>
      </c>
      <c r="B7" t="s">
        <v>22</v>
      </c>
      <c r="C7" t="s">
        <v>23</v>
      </c>
      <c r="D7">
        <v>882</v>
      </c>
      <c r="E7" t="s">
        <v>34</v>
      </c>
      <c r="G7">
        <v>25000</v>
      </c>
      <c r="H7">
        <v>25000</v>
      </c>
      <c r="I7">
        <v>25000</v>
      </c>
      <c r="J7">
        <v>10.601800000000001</v>
      </c>
      <c r="K7">
        <v>9.66</v>
      </c>
      <c r="L7" s="4">
        <v>241500</v>
      </c>
      <c r="M7">
        <v>265044</v>
      </c>
      <c r="N7">
        <v>-24129</v>
      </c>
      <c r="O7" s="1">
        <v>-9.0999999999999998E-2</v>
      </c>
      <c r="P7" t="s">
        <v>26</v>
      </c>
      <c r="Q7" t="s">
        <v>26</v>
      </c>
      <c r="R7" t="s">
        <v>26</v>
      </c>
      <c r="S7">
        <v>10.63</v>
      </c>
      <c r="T7" t="s">
        <v>27</v>
      </c>
      <c r="U7">
        <v>0</v>
      </c>
    </row>
    <row r="8" spans="1:21" x14ac:dyDescent="0.25">
      <c r="A8" t="s">
        <v>21</v>
      </c>
      <c r="B8" t="s">
        <v>22</v>
      </c>
      <c r="C8" t="s">
        <v>23</v>
      </c>
      <c r="D8">
        <v>1215</v>
      </c>
      <c r="E8" t="s">
        <v>35</v>
      </c>
      <c r="F8" t="s">
        <v>25</v>
      </c>
      <c r="G8">
        <v>1000</v>
      </c>
      <c r="H8">
        <v>1000</v>
      </c>
      <c r="I8">
        <v>1000</v>
      </c>
      <c r="J8">
        <v>97.433000000000007</v>
      </c>
      <c r="K8">
        <v>96.5</v>
      </c>
      <c r="L8" s="4">
        <v>96500</v>
      </c>
      <c r="M8">
        <v>97433</v>
      </c>
      <c r="N8">
        <v>-1359</v>
      </c>
      <c r="O8" s="1">
        <v>-1.3899999999999999E-2</v>
      </c>
      <c r="P8" t="s">
        <v>26</v>
      </c>
      <c r="Q8" t="s">
        <v>26</v>
      </c>
      <c r="R8" t="s">
        <v>26</v>
      </c>
      <c r="S8">
        <v>97.9</v>
      </c>
      <c r="T8" t="s">
        <v>27</v>
      </c>
      <c r="U8">
        <v>0</v>
      </c>
    </row>
    <row r="9" spans="1:21" x14ac:dyDescent="0.25">
      <c r="A9" t="s">
        <v>21</v>
      </c>
      <c r="B9" t="s">
        <v>22</v>
      </c>
      <c r="C9" t="s">
        <v>23</v>
      </c>
      <c r="D9">
        <v>1474</v>
      </c>
      <c r="E9" t="s">
        <v>36</v>
      </c>
      <c r="F9" t="s">
        <v>25</v>
      </c>
      <c r="G9">
        <v>1000</v>
      </c>
      <c r="H9">
        <v>1000</v>
      </c>
      <c r="I9">
        <v>1000</v>
      </c>
      <c r="J9">
        <v>15.47</v>
      </c>
      <c r="K9">
        <v>11.65</v>
      </c>
      <c r="L9" s="6">
        <v>11650</v>
      </c>
      <c r="M9">
        <v>15470</v>
      </c>
      <c r="N9">
        <v>-3874</v>
      </c>
      <c r="O9" s="1">
        <v>-0.25040000000000001</v>
      </c>
      <c r="P9" t="s">
        <v>26</v>
      </c>
      <c r="Q9" t="s">
        <v>26</v>
      </c>
      <c r="R9" t="s">
        <v>26</v>
      </c>
      <c r="S9">
        <v>15.55</v>
      </c>
      <c r="T9" t="s">
        <v>27</v>
      </c>
      <c r="U9">
        <v>0</v>
      </c>
    </row>
    <row r="10" spans="1:21" x14ac:dyDescent="0.25">
      <c r="A10" t="s">
        <v>21</v>
      </c>
      <c r="B10" t="s">
        <v>22</v>
      </c>
      <c r="C10" t="s">
        <v>23</v>
      </c>
      <c r="D10">
        <v>1514</v>
      </c>
      <c r="E10" t="s">
        <v>37</v>
      </c>
      <c r="F10" t="s">
        <v>25</v>
      </c>
      <c r="G10">
        <v>1000</v>
      </c>
      <c r="H10">
        <v>1000</v>
      </c>
      <c r="I10">
        <v>1000</v>
      </c>
      <c r="J10">
        <v>82.27</v>
      </c>
      <c r="K10">
        <v>86.2</v>
      </c>
      <c r="L10" s="6">
        <v>86200</v>
      </c>
      <c r="M10">
        <v>82270</v>
      </c>
      <c r="N10">
        <v>3550</v>
      </c>
      <c r="O10" s="1">
        <v>4.3200000000000002E-2</v>
      </c>
      <c r="P10" t="s">
        <v>26</v>
      </c>
      <c r="Q10" t="s">
        <v>26</v>
      </c>
      <c r="R10" t="s">
        <v>26</v>
      </c>
      <c r="S10">
        <v>82.7</v>
      </c>
      <c r="T10" t="s">
        <v>27</v>
      </c>
      <c r="U10">
        <v>0</v>
      </c>
    </row>
    <row r="11" spans="1:21" x14ac:dyDescent="0.25">
      <c r="A11" t="s">
        <v>21</v>
      </c>
      <c r="B11" t="s">
        <v>22</v>
      </c>
      <c r="C11" t="s">
        <v>23</v>
      </c>
      <c r="D11">
        <v>2105</v>
      </c>
      <c r="E11" t="s">
        <v>38</v>
      </c>
      <c r="F11" t="s">
        <v>25</v>
      </c>
      <c r="G11">
        <v>11000</v>
      </c>
      <c r="H11">
        <v>11800</v>
      </c>
      <c r="I11">
        <v>11800</v>
      </c>
      <c r="J11">
        <v>22.089300000000001</v>
      </c>
      <c r="K11">
        <v>44.85</v>
      </c>
      <c r="L11" s="6">
        <v>529230</v>
      </c>
      <c r="M11">
        <v>260654</v>
      </c>
      <c r="N11">
        <v>266235</v>
      </c>
      <c r="O11" s="1">
        <v>1.0214000000000001</v>
      </c>
      <c r="P11" t="s">
        <v>26</v>
      </c>
      <c r="Q11" t="s">
        <v>26</v>
      </c>
      <c r="R11" t="s">
        <v>26</v>
      </c>
      <c r="S11">
        <v>22.2</v>
      </c>
      <c r="T11" t="s">
        <v>27</v>
      </c>
      <c r="U11">
        <v>0</v>
      </c>
    </row>
    <row r="12" spans="1:21" x14ac:dyDescent="0.25">
      <c r="A12" t="s">
        <v>21</v>
      </c>
      <c r="B12" t="s">
        <v>22</v>
      </c>
      <c r="C12" t="s">
        <v>23</v>
      </c>
      <c r="D12">
        <v>2618</v>
      </c>
      <c r="E12" t="s">
        <v>39</v>
      </c>
      <c r="F12" t="s">
        <v>25</v>
      </c>
      <c r="G12">
        <v>4000</v>
      </c>
      <c r="H12">
        <v>4000</v>
      </c>
      <c r="I12">
        <v>4000</v>
      </c>
      <c r="J12">
        <v>32.602499999999999</v>
      </c>
      <c r="K12">
        <v>32.049999999999997</v>
      </c>
      <c r="L12" s="6">
        <v>128200</v>
      </c>
      <c r="M12">
        <v>130410</v>
      </c>
      <c r="N12">
        <v>-2776</v>
      </c>
      <c r="O12" s="1">
        <v>-2.1299999999999999E-2</v>
      </c>
      <c r="P12" t="s">
        <v>26</v>
      </c>
      <c r="Q12" t="s">
        <v>26</v>
      </c>
      <c r="R12" t="s">
        <v>26</v>
      </c>
      <c r="S12">
        <v>32.75</v>
      </c>
      <c r="T12" t="s">
        <v>27</v>
      </c>
      <c r="U12">
        <v>0</v>
      </c>
    </row>
    <row r="13" spans="1:21" x14ac:dyDescent="0.25">
      <c r="A13" t="s">
        <v>21</v>
      </c>
      <c r="B13" t="s">
        <v>22</v>
      </c>
      <c r="C13" t="s">
        <v>23</v>
      </c>
      <c r="D13">
        <v>2812</v>
      </c>
      <c r="E13" t="s">
        <v>40</v>
      </c>
      <c r="F13" t="s">
        <v>25</v>
      </c>
      <c r="G13">
        <v>11000</v>
      </c>
      <c r="H13">
        <v>11533</v>
      </c>
      <c r="I13">
        <v>11533</v>
      </c>
      <c r="J13">
        <v>8.8560999999999996</v>
      </c>
      <c r="K13">
        <v>15.3</v>
      </c>
      <c r="L13" s="6">
        <v>176454.9</v>
      </c>
      <c r="M13">
        <v>102137</v>
      </c>
      <c r="N13">
        <v>73537.899999999994</v>
      </c>
      <c r="O13" s="1">
        <v>0.72</v>
      </c>
      <c r="P13" t="s">
        <v>26</v>
      </c>
      <c r="Q13" t="s">
        <v>26</v>
      </c>
      <c r="R13" t="s">
        <v>26</v>
      </c>
      <c r="S13">
        <v>8.9</v>
      </c>
      <c r="T13" t="s">
        <v>27</v>
      </c>
      <c r="U13">
        <v>0</v>
      </c>
    </row>
    <row r="14" spans="1:21" x14ac:dyDescent="0.25">
      <c r="A14" t="s">
        <v>21</v>
      </c>
      <c r="B14" t="s">
        <v>22</v>
      </c>
      <c r="C14" t="s">
        <v>23</v>
      </c>
      <c r="D14">
        <v>2887</v>
      </c>
      <c r="E14" t="s">
        <v>41</v>
      </c>
      <c r="F14" t="s">
        <v>25</v>
      </c>
      <c r="G14">
        <v>17000</v>
      </c>
      <c r="H14">
        <v>17777</v>
      </c>
      <c r="I14">
        <v>17777</v>
      </c>
      <c r="J14">
        <v>11.632999999999999</v>
      </c>
      <c r="K14">
        <v>17.25</v>
      </c>
      <c r="L14" s="6">
        <v>306653.25</v>
      </c>
      <c r="M14">
        <v>206799</v>
      </c>
      <c r="N14">
        <v>98499.25</v>
      </c>
      <c r="O14" s="1">
        <v>0.4763</v>
      </c>
      <c r="P14" t="s">
        <v>26</v>
      </c>
      <c r="Q14" t="s">
        <v>26</v>
      </c>
      <c r="R14" t="s">
        <v>26</v>
      </c>
      <c r="S14">
        <v>11.7</v>
      </c>
      <c r="T14" t="s">
        <v>27</v>
      </c>
      <c r="U14">
        <v>0</v>
      </c>
    </row>
    <row r="15" spans="1:21" x14ac:dyDescent="0.25">
      <c r="A15" t="s">
        <v>21</v>
      </c>
      <c r="B15" t="s">
        <v>22</v>
      </c>
      <c r="C15" t="s">
        <v>23</v>
      </c>
      <c r="D15">
        <v>2892</v>
      </c>
      <c r="E15" t="s">
        <v>42</v>
      </c>
      <c r="F15" t="s">
        <v>25</v>
      </c>
      <c r="G15">
        <v>15000</v>
      </c>
      <c r="H15">
        <v>15602</v>
      </c>
      <c r="I15">
        <v>15602</v>
      </c>
      <c r="J15">
        <v>14.824299999999999</v>
      </c>
      <c r="K15">
        <v>26.9</v>
      </c>
      <c r="L15" s="6">
        <v>419693.8</v>
      </c>
      <c r="M15">
        <v>231289</v>
      </c>
      <c r="N15">
        <v>186547.8</v>
      </c>
      <c r="O15" s="1">
        <v>0.80659999999999998</v>
      </c>
      <c r="P15" t="s">
        <v>26</v>
      </c>
      <c r="Q15" t="s">
        <v>26</v>
      </c>
      <c r="R15" t="s">
        <v>26</v>
      </c>
      <c r="S15">
        <v>14.9</v>
      </c>
      <c r="T15" t="s">
        <v>27</v>
      </c>
      <c r="U15">
        <v>0</v>
      </c>
    </row>
    <row r="16" spans="1:21" x14ac:dyDescent="0.25">
      <c r="A16" t="s">
        <v>21</v>
      </c>
      <c r="B16" t="s">
        <v>22</v>
      </c>
      <c r="C16" t="s">
        <v>23</v>
      </c>
      <c r="D16">
        <v>4104</v>
      </c>
      <c r="E16" t="s">
        <v>43</v>
      </c>
      <c r="F16" t="s">
        <v>25</v>
      </c>
      <c r="G16">
        <v>1000</v>
      </c>
      <c r="H16">
        <v>1000</v>
      </c>
      <c r="I16">
        <v>1000</v>
      </c>
      <c r="J16">
        <v>88.474999999999994</v>
      </c>
      <c r="K16">
        <v>87.2</v>
      </c>
      <c r="L16" s="4">
        <v>87200</v>
      </c>
      <c r="M16">
        <v>88475</v>
      </c>
      <c r="N16">
        <v>-1660</v>
      </c>
      <c r="O16" s="1">
        <v>-1.8800000000000001E-2</v>
      </c>
      <c r="P16" t="s">
        <v>26</v>
      </c>
      <c r="Q16" t="s">
        <v>26</v>
      </c>
      <c r="R16" t="s">
        <v>26</v>
      </c>
      <c r="S16">
        <v>88.9</v>
      </c>
      <c r="T16" t="s">
        <v>27</v>
      </c>
      <c r="U16">
        <v>0</v>
      </c>
    </row>
    <row r="17" spans="1:21" x14ac:dyDescent="0.25">
      <c r="A17" t="s">
        <v>21</v>
      </c>
      <c r="B17" t="s">
        <v>22</v>
      </c>
      <c r="C17" t="s">
        <v>23</v>
      </c>
      <c r="D17">
        <v>5434</v>
      </c>
      <c r="E17" t="s">
        <v>44</v>
      </c>
      <c r="F17" t="s">
        <v>25</v>
      </c>
      <c r="G17">
        <v>1000</v>
      </c>
      <c r="H17">
        <v>1328</v>
      </c>
      <c r="I17">
        <v>1328</v>
      </c>
      <c r="J17">
        <v>180.80119999999999</v>
      </c>
      <c r="K17">
        <v>191.5</v>
      </c>
      <c r="L17" s="4">
        <v>254312</v>
      </c>
      <c r="M17">
        <v>240104</v>
      </c>
      <c r="N17">
        <v>13084</v>
      </c>
      <c r="O17" s="1">
        <v>5.45E-2</v>
      </c>
      <c r="P17" t="s">
        <v>26</v>
      </c>
      <c r="Q17" t="s">
        <v>26</v>
      </c>
      <c r="R17" t="s">
        <v>26</v>
      </c>
      <c r="S17">
        <v>182</v>
      </c>
      <c r="T17" t="s">
        <v>27</v>
      </c>
      <c r="U17">
        <v>0</v>
      </c>
    </row>
    <row r="18" spans="1:21" x14ac:dyDescent="0.25">
      <c r="A18" t="s">
        <v>21</v>
      </c>
      <c r="B18" t="s">
        <v>22</v>
      </c>
      <c r="C18" t="s">
        <v>23</v>
      </c>
      <c r="D18">
        <v>5871</v>
      </c>
      <c r="E18" t="s">
        <v>45</v>
      </c>
      <c r="F18" t="s">
        <v>25</v>
      </c>
      <c r="G18">
        <v>7000</v>
      </c>
      <c r="H18">
        <v>7300</v>
      </c>
      <c r="I18">
        <v>7300</v>
      </c>
      <c r="J18">
        <v>190.39590000000001</v>
      </c>
      <c r="K18">
        <v>175</v>
      </c>
      <c r="L18">
        <v>1277500</v>
      </c>
      <c r="M18">
        <v>1389890</v>
      </c>
      <c r="N18">
        <v>-118042</v>
      </c>
      <c r="O18" s="1">
        <v>-8.4900000000000003E-2</v>
      </c>
      <c r="P18" t="s">
        <v>26</v>
      </c>
      <c r="Q18" t="s">
        <v>26</v>
      </c>
      <c r="R18" t="s">
        <v>26</v>
      </c>
      <c r="S18">
        <v>191.5</v>
      </c>
      <c r="T18" t="s">
        <v>27</v>
      </c>
      <c r="U18">
        <v>0</v>
      </c>
    </row>
    <row r="19" spans="1:21" x14ac:dyDescent="0.25">
      <c r="A19" t="s">
        <v>21</v>
      </c>
      <c r="B19" t="s">
        <v>22</v>
      </c>
      <c r="C19" t="s">
        <v>23</v>
      </c>
      <c r="D19">
        <v>6605</v>
      </c>
      <c r="E19" t="s">
        <v>46</v>
      </c>
      <c r="F19" t="s">
        <v>25</v>
      </c>
      <c r="G19">
        <v>1000</v>
      </c>
      <c r="H19">
        <v>1000</v>
      </c>
      <c r="I19">
        <v>1000</v>
      </c>
      <c r="J19">
        <v>145.624</v>
      </c>
      <c r="K19">
        <v>150.5</v>
      </c>
      <c r="L19" s="6">
        <v>150500</v>
      </c>
      <c r="M19">
        <v>145624</v>
      </c>
      <c r="N19">
        <v>4211</v>
      </c>
      <c r="O19" s="1">
        <v>2.8899999999999999E-2</v>
      </c>
      <c r="P19" t="s">
        <v>26</v>
      </c>
      <c r="Q19" t="s">
        <v>26</v>
      </c>
      <c r="R19" t="s">
        <v>26</v>
      </c>
      <c r="S19">
        <v>146.5</v>
      </c>
      <c r="T19" t="s">
        <v>27</v>
      </c>
      <c r="U19">
        <v>0</v>
      </c>
    </row>
    <row r="20" spans="1:21" x14ac:dyDescent="0.25">
      <c r="A20" t="s">
        <v>21</v>
      </c>
      <c r="B20" t="s">
        <v>22</v>
      </c>
      <c r="C20" t="s">
        <v>23</v>
      </c>
      <c r="D20">
        <v>9942</v>
      </c>
      <c r="E20" t="s">
        <v>47</v>
      </c>
      <c r="F20" t="s">
        <v>25</v>
      </c>
      <c r="G20">
        <v>1000</v>
      </c>
      <c r="H20">
        <v>1000</v>
      </c>
      <c r="I20">
        <v>1000</v>
      </c>
      <c r="J20">
        <v>132.613</v>
      </c>
      <c r="K20">
        <v>128</v>
      </c>
      <c r="L20" s="4">
        <v>128000</v>
      </c>
      <c r="M20">
        <v>132613</v>
      </c>
      <c r="N20">
        <v>-5179</v>
      </c>
      <c r="O20" s="1">
        <v>-3.9100000000000003E-2</v>
      </c>
      <c r="P20" t="s">
        <v>26</v>
      </c>
      <c r="Q20" t="s">
        <v>26</v>
      </c>
      <c r="R20" t="s">
        <v>26</v>
      </c>
      <c r="S20">
        <v>133.5</v>
      </c>
      <c r="T20" t="s">
        <v>27</v>
      </c>
      <c r="U20">
        <v>0</v>
      </c>
    </row>
    <row r="21" spans="1:21" x14ac:dyDescent="0.25">
      <c r="A21" t="s">
        <v>21</v>
      </c>
      <c r="B21" t="s">
        <v>48</v>
      </c>
      <c r="C21" t="s">
        <v>23</v>
      </c>
      <c r="D21" t="s">
        <v>49</v>
      </c>
      <c r="E21" t="s">
        <v>50</v>
      </c>
      <c r="G21">
        <v>36000</v>
      </c>
      <c r="H21">
        <v>36519</v>
      </c>
      <c r="I21">
        <v>36519</v>
      </c>
      <c r="J21">
        <v>34.343600000000002</v>
      </c>
      <c r="K21">
        <v>35.270000000000003</v>
      </c>
      <c r="L21">
        <v>1288025.1299999999</v>
      </c>
      <c r="M21">
        <v>1254194</v>
      </c>
      <c r="N21">
        <v>30708.13</v>
      </c>
      <c r="O21" s="1">
        <v>2.4500000000000001E-2</v>
      </c>
      <c r="P21" t="s">
        <v>26</v>
      </c>
      <c r="Q21" t="s">
        <v>26</v>
      </c>
      <c r="R21" t="s">
        <v>26</v>
      </c>
      <c r="S21">
        <v>34.43</v>
      </c>
      <c r="T21" t="s">
        <v>27</v>
      </c>
      <c r="U21">
        <v>0</v>
      </c>
    </row>
    <row r="22" spans="1:21" x14ac:dyDescent="0.25">
      <c r="A22" t="s">
        <v>21</v>
      </c>
      <c r="B22" t="s">
        <v>48</v>
      </c>
      <c r="C22" t="s">
        <v>23</v>
      </c>
      <c r="D22" t="s">
        <v>51</v>
      </c>
      <c r="E22" t="s">
        <v>52</v>
      </c>
      <c r="G22">
        <v>106000</v>
      </c>
      <c r="H22">
        <v>106000</v>
      </c>
      <c r="I22">
        <v>106000</v>
      </c>
      <c r="J22">
        <v>15.928900000000001</v>
      </c>
      <c r="K22">
        <v>15.94</v>
      </c>
      <c r="L22">
        <v>1689640</v>
      </c>
      <c r="M22">
        <v>1688460</v>
      </c>
      <c r="N22">
        <v>-2916</v>
      </c>
      <c r="O22" s="1">
        <v>-1.6999999999999999E-3</v>
      </c>
      <c r="P22" t="s">
        <v>26</v>
      </c>
      <c r="Q22" t="s">
        <v>26</v>
      </c>
      <c r="R22" t="s">
        <v>26</v>
      </c>
      <c r="S22">
        <v>15.97</v>
      </c>
      <c r="T22" t="s">
        <v>27</v>
      </c>
      <c r="U22">
        <v>0</v>
      </c>
    </row>
    <row r="23" spans="1:21" x14ac:dyDescent="0.25">
      <c r="A23" t="s">
        <v>21</v>
      </c>
      <c r="B23" t="s">
        <v>48</v>
      </c>
      <c r="C23" t="s">
        <v>23</v>
      </c>
      <c r="D23">
        <v>1584</v>
      </c>
      <c r="E23" t="s">
        <v>53</v>
      </c>
      <c r="F23" t="s">
        <v>25</v>
      </c>
      <c r="G23">
        <v>2000</v>
      </c>
      <c r="H23">
        <v>2000</v>
      </c>
      <c r="I23">
        <v>2000</v>
      </c>
      <c r="J23">
        <v>36.605499999999999</v>
      </c>
      <c r="K23">
        <v>33.25</v>
      </c>
      <c r="L23" s="4">
        <v>66500</v>
      </c>
      <c r="M23">
        <v>73211</v>
      </c>
      <c r="N23">
        <v>-7004</v>
      </c>
      <c r="O23" s="1">
        <v>-9.5699999999999993E-2</v>
      </c>
      <c r="P23" t="s">
        <v>26</v>
      </c>
      <c r="Q23" t="s">
        <v>26</v>
      </c>
      <c r="R23" t="s">
        <v>26</v>
      </c>
      <c r="S23">
        <v>36.799999999999997</v>
      </c>
      <c r="T23" t="s">
        <v>27</v>
      </c>
      <c r="U23">
        <v>0</v>
      </c>
    </row>
    <row r="24" spans="1:21" x14ac:dyDescent="0.25">
      <c r="A24" t="s">
        <v>21</v>
      </c>
      <c r="B24" t="s">
        <v>48</v>
      </c>
      <c r="C24" t="s">
        <v>23</v>
      </c>
      <c r="D24">
        <v>3078</v>
      </c>
      <c r="E24" t="s">
        <v>54</v>
      </c>
      <c r="F24" t="s">
        <v>25</v>
      </c>
      <c r="G24">
        <v>2000</v>
      </c>
      <c r="H24">
        <v>2000</v>
      </c>
      <c r="I24">
        <v>2000</v>
      </c>
      <c r="J24">
        <v>80.918499999999995</v>
      </c>
      <c r="K24">
        <v>79</v>
      </c>
      <c r="L24" s="4">
        <v>158000</v>
      </c>
      <c r="M24">
        <v>161837</v>
      </c>
      <c r="N24">
        <v>-4536</v>
      </c>
      <c r="O24" s="1">
        <v>-2.8000000000000001E-2</v>
      </c>
      <c r="P24" t="s">
        <v>26</v>
      </c>
      <c r="Q24" t="s">
        <v>26</v>
      </c>
      <c r="R24" t="s">
        <v>26</v>
      </c>
      <c r="S24">
        <v>81.3</v>
      </c>
      <c r="T24" t="s">
        <v>27</v>
      </c>
      <c r="U24">
        <v>0</v>
      </c>
    </row>
    <row r="25" spans="1:21" x14ac:dyDescent="0.25">
      <c r="A25" t="s">
        <v>21</v>
      </c>
      <c r="B25" t="s">
        <v>48</v>
      </c>
      <c r="C25" t="s">
        <v>23</v>
      </c>
      <c r="D25">
        <v>4506</v>
      </c>
      <c r="E25" t="s">
        <v>55</v>
      </c>
      <c r="F25" t="s">
        <v>25</v>
      </c>
      <c r="G25">
        <v>1000</v>
      </c>
      <c r="H25">
        <v>1000</v>
      </c>
      <c r="I25">
        <v>1000</v>
      </c>
      <c r="J25">
        <v>80.168000000000006</v>
      </c>
      <c r="K25">
        <v>84.3</v>
      </c>
      <c r="L25" s="6">
        <v>84300</v>
      </c>
      <c r="M25">
        <v>80168</v>
      </c>
      <c r="N25">
        <v>3760</v>
      </c>
      <c r="O25" s="1">
        <v>4.6899999999999997E-2</v>
      </c>
      <c r="P25" t="s">
        <v>26</v>
      </c>
      <c r="Q25" t="s">
        <v>26</v>
      </c>
      <c r="R25" t="s">
        <v>26</v>
      </c>
      <c r="S25">
        <v>80.599999999999994</v>
      </c>
      <c r="T25" t="s">
        <v>27</v>
      </c>
      <c r="U25">
        <v>0</v>
      </c>
    </row>
    <row r="26" spans="1:21" x14ac:dyDescent="0.25">
      <c r="A26" t="s">
        <v>21</v>
      </c>
      <c r="B26" t="s">
        <v>48</v>
      </c>
      <c r="C26" t="s">
        <v>23</v>
      </c>
      <c r="D26">
        <v>4743</v>
      </c>
      <c r="E26" t="s">
        <v>56</v>
      </c>
      <c r="F26" t="s">
        <v>25</v>
      </c>
      <c r="G26">
        <v>0</v>
      </c>
      <c r="H26">
        <v>200</v>
      </c>
      <c r="I26">
        <v>200</v>
      </c>
      <c r="J26">
        <v>175.65</v>
      </c>
      <c r="K26">
        <v>173</v>
      </c>
      <c r="L26" s="6">
        <v>34600</v>
      </c>
      <c r="M26">
        <v>35130</v>
      </c>
      <c r="N26">
        <v>-682</v>
      </c>
      <c r="O26" s="1">
        <v>-1.9400000000000001E-2</v>
      </c>
      <c r="P26" t="s">
        <v>26</v>
      </c>
      <c r="Q26" t="s">
        <v>26</v>
      </c>
      <c r="R26" t="s">
        <v>26</v>
      </c>
      <c r="S26">
        <v>176.5</v>
      </c>
      <c r="T26" t="s">
        <v>27</v>
      </c>
      <c r="U26">
        <v>0</v>
      </c>
    </row>
    <row r="27" spans="1:21" x14ac:dyDescent="0.25">
      <c r="A27" t="s">
        <v>21</v>
      </c>
      <c r="B27" t="s">
        <v>48</v>
      </c>
      <c r="C27" t="s">
        <v>23</v>
      </c>
      <c r="D27">
        <v>6287</v>
      </c>
      <c r="E27" t="s">
        <v>57</v>
      </c>
      <c r="F27" t="s">
        <v>25</v>
      </c>
      <c r="G27">
        <v>2000</v>
      </c>
      <c r="H27">
        <v>2000</v>
      </c>
      <c r="I27">
        <v>2000</v>
      </c>
      <c r="J27">
        <v>33.544499999999999</v>
      </c>
      <c r="K27">
        <v>15.75</v>
      </c>
      <c r="L27" s="6">
        <v>31500</v>
      </c>
      <c r="M27">
        <v>67089</v>
      </c>
      <c r="N27">
        <v>-35727</v>
      </c>
      <c r="O27" s="1">
        <v>-0.53249999999999997</v>
      </c>
      <c r="P27" t="s">
        <v>26</v>
      </c>
      <c r="Q27" t="s">
        <v>26</v>
      </c>
      <c r="R27" t="s">
        <v>26</v>
      </c>
      <c r="S27">
        <v>33.700000000000003</v>
      </c>
      <c r="T27" t="s">
        <v>27</v>
      </c>
      <c r="U27">
        <v>0</v>
      </c>
    </row>
    <row r="28" spans="1:21" x14ac:dyDescent="0.25">
      <c r="A28" s="34" t="s">
        <v>58</v>
      </c>
      <c r="B28" s="34"/>
      <c r="C28" s="34"/>
      <c r="D28" s="34"/>
      <c r="E28" s="34"/>
      <c r="F28" t="s">
        <v>26</v>
      </c>
      <c r="G28" t="s">
        <v>26</v>
      </c>
      <c r="H28" t="s">
        <v>26</v>
      </c>
      <c r="I28" s="2">
        <v>273514</v>
      </c>
      <c r="J28" t="s">
        <v>26</v>
      </c>
      <c r="K28" t="s">
        <v>26</v>
      </c>
      <c r="L28" s="2">
        <v>7921353</v>
      </c>
      <c r="M28" s="2">
        <v>7323166</v>
      </c>
      <c r="N28" s="2">
        <v>570946</v>
      </c>
      <c r="O28" s="1">
        <v>7.8E-2</v>
      </c>
      <c r="P28">
        <v>0</v>
      </c>
      <c r="Q28">
        <v>0</v>
      </c>
      <c r="R28">
        <v>0</v>
      </c>
      <c r="S28" t="s">
        <v>26</v>
      </c>
      <c r="T28" t="s">
        <v>26</v>
      </c>
      <c r="U28">
        <v>0</v>
      </c>
    </row>
  </sheetData>
  <autoFilter ref="A1:U28"/>
  <mergeCells count="1">
    <mergeCell ref="A28:E2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G21" sqref="G21"/>
    </sheetView>
  </sheetViews>
  <sheetFormatPr defaultRowHeight="16.5" x14ac:dyDescent="0.25"/>
  <cols>
    <col min="1" max="1" width="10.5" bestFit="1" customWidth="1"/>
  </cols>
  <sheetData>
    <row r="1" spans="1:8" x14ac:dyDescent="0.25">
      <c r="A1" s="3">
        <v>44980</v>
      </c>
      <c r="B1" s="24" t="s">
        <v>103</v>
      </c>
      <c r="C1" s="2">
        <v>122776</v>
      </c>
      <c r="D1" s="2">
        <v>3399142</v>
      </c>
      <c r="E1" s="24" t="s">
        <v>104</v>
      </c>
      <c r="F1" s="24">
        <v>8397</v>
      </c>
      <c r="G1" s="24" t="s">
        <v>103</v>
      </c>
      <c r="H1" s="24">
        <v>9859</v>
      </c>
    </row>
    <row r="2" spans="1:8" x14ac:dyDescent="0.25">
      <c r="A2" s="3">
        <v>45114</v>
      </c>
      <c r="B2" s="24" t="s">
        <v>92</v>
      </c>
      <c r="C2" s="2">
        <v>15810</v>
      </c>
      <c r="D2" s="2">
        <v>4672754</v>
      </c>
      <c r="E2" s="24" t="s">
        <v>38</v>
      </c>
      <c r="F2" s="24" t="s">
        <v>92</v>
      </c>
      <c r="G2" s="24">
        <v>8501</v>
      </c>
      <c r="H2" s="24">
        <v>201</v>
      </c>
    </row>
    <row r="3" spans="1:8" x14ac:dyDescent="0.25">
      <c r="A3" s="3">
        <v>45119</v>
      </c>
      <c r="B3" s="24" t="s">
        <v>92</v>
      </c>
      <c r="C3" s="2">
        <v>4790</v>
      </c>
      <c r="D3" s="2">
        <v>1971311</v>
      </c>
      <c r="E3" s="24" t="s">
        <v>93</v>
      </c>
      <c r="F3" s="24" t="s">
        <v>92</v>
      </c>
      <c r="G3" s="24">
        <v>8501</v>
      </c>
      <c r="H3" s="24">
        <v>201</v>
      </c>
    </row>
    <row r="4" spans="1:8" x14ac:dyDescent="0.25">
      <c r="A4" s="3">
        <v>45121</v>
      </c>
      <c r="B4" s="24" t="s">
        <v>92</v>
      </c>
      <c r="C4" s="2">
        <v>6260</v>
      </c>
      <c r="D4" s="2">
        <v>1977571</v>
      </c>
      <c r="E4" s="24" t="s">
        <v>94</v>
      </c>
      <c r="F4" s="24" t="s">
        <v>92</v>
      </c>
      <c r="G4" s="24">
        <v>8507</v>
      </c>
      <c r="H4" s="24">
        <v>201</v>
      </c>
    </row>
    <row r="5" spans="1:8" x14ac:dyDescent="0.25">
      <c r="A5" s="3">
        <v>45121</v>
      </c>
      <c r="B5" s="24" t="s">
        <v>92</v>
      </c>
      <c r="C5" s="2">
        <v>9990</v>
      </c>
      <c r="D5" s="2">
        <v>1987561</v>
      </c>
      <c r="E5" s="24" t="s">
        <v>44</v>
      </c>
      <c r="F5" s="24" t="s">
        <v>92</v>
      </c>
      <c r="G5" s="24">
        <v>8501</v>
      </c>
      <c r="H5" s="24">
        <v>201</v>
      </c>
    </row>
    <row r="6" spans="1:8" x14ac:dyDescent="0.25">
      <c r="A6" s="3">
        <v>45126</v>
      </c>
      <c r="B6" s="24" t="s">
        <v>92</v>
      </c>
      <c r="C6" s="2">
        <v>4990</v>
      </c>
      <c r="D6" s="2">
        <v>1938310</v>
      </c>
      <c r="E6" s="24" t="s">
        <v>95</v>
      </c>
      <c r="F6" s="24" t="s">
        <v>92</v>
      </c>
      <c r="G6" s="24">
        <v>8501</v>
      </c>
      <c r="H6" s="24">
        <v>201</v>
      </c>
    </row>
    <row r="7" spans="1:8" x14ac:dyDescent="0.25">
      <c r="A7" s="3">
        <v>45135</v>
      </c>
      <c r="B7" s="24" t="s">
        <v>92</v>
      </c>
      <c r="C7" s="2">
        <v>2339</v>
      </c>
      <c r="D7" s="2">
        <v>2091670</v>
      </c>
      <c r="E7" s="24" t="s">
        <v>96</v>
      </c>
      <c r="F7" s="24" t="s">
        <v>92</v>
      </c>
      <c r="G7" s="24">
        <v>8501</v>
      </c>
      <c r="H7" s="24">
        <v>201</v>
      </c>
    </row>
    <row r="8" spans="1:8" x14ac:dyDescent="0.25">
      <c r="A8" s="3">
        <v>45139</v>
      </c>
      <c r="B8" s="24" t="s">
        <v>92</v>
      </c>
      <c r="C8" s="2">
        <v>5990</v>
      </c>
      <c r="D8" s="2">
        <v>2155605</v>
      </c>
      <c r="E8" s="24" t="s">
        <v>97</v>
      </c>
      <c r="F8" s="24" t="s">
        <v>92</v>
      </c>
      <c r="G8" s="24">
        <v>8501</v>
      </c>
      <c r="H8" s="24">
        <v>201</v>
      </c>
    </row>
    <row r="9" spans="1:8" x14ac:dyDescent="0.25">
      <c r="A9" s="3">
        <v>45149</v>
      </c>
      <c r="B9" s="24" t="s">
        <v>105</v>
      </c>
      <c r="C9" s="2">
        <v>2090</v>
      </c>
      <c r="D9" s="2">
        <v>1719033</v>
      </c>
      <c r="E9" s="24" t="s">
        <v>106</v>
      </c>
      <c r="F9" s="24" t="s">
        <v>105</v>
      </c>
      <c r="G9" s="24">
        <v>8501</v>
      </c>
      <c r="H9" s="24">
        <v>421</v>
      </c>
    </row>
    <row r="10" spans="1:8" x14ac:dyDescent="0.25">
      <c r="A10" s="3">
        <v>45156</v>
      </c>
      <c r="B10" s="24" t="s">
        <v>92</v>
      </c>
      <c r="C10" s="2">
        <v>3311</v>
      </c>
      <c r="D10" s="2">
        <v>2115478</v>
      </c>
      <c r="E10" s="24" t="s">
        <v>40</v>
      </c>
      <c r="F10" s="24" t="s">
        <v>92</v>
      </c>
      <c r="G10" s="24">
        <v>8501</v>
      </c>
      <c r="H10" s="24">
        <v>201</v>
      </c>
    </row>
    <row r="11" spans="1:8" x14ac:dyDescent="0.25">
      <c r="A11" s="3">
        <v>45161</v>
      </c>
      <c r="B11" s="24" t="s">
        <v>92</v>
      </c>
      <c r="C11" s="2">
        <v>1290</v>
      </c>
      <c r="D11" s="2">
        <v>2081068</v>
      </c>
      <c r="E11" s="24" t="s">
        <v>98</v>
      </c>
      <c r="F11" s="24" t="s">
        <v>92</v>
      </c>
      <c r="G11" s="24">
        <v>8501</v>
      </c>
      <c r="H11" s="24">
        <v>201</v>
      </c>
    </row>
    <row r="12" spans="1:8" x14ac:dyDescent="0.25">
      <c r="A12" s="3">
        <v>45168</v>
      </c>
      <c r="B12" s="24" t="s">
        <v>92</v>
      </c>
      <c r="C12" s="2">
        <v>1870</v>
      </c>
      <c r="D12" s="2">
        <v>2091332</v>
      </c>
      <c r="E12" s="24" t="s">
        <v>99</v>
      </c>
      <c r="F12" s="24" t="s">
        <v>92</v>
      </c>
      <c r="G12" s="24">
        <v>8501</v>
      </c>
      <c r="H12" s="24">
        <v>201</v>
      </c>
    </row>
    <row r="13" spans="1:8" x14ac:dyDescent="0.25">
      <c r="A13" s="3">
        <v>45169</v>
      </c>
      <c r="B13" s="24" t="s">
        <v>92</v>
      </c>
      <c r="C13" s="2">
        <v>19190</v>
      </c>
      <c r="D13" s="2">
        <v>2110522</v>
      </c>
      <c r="E13" s="24" t="s">
        <v>100</v>
      </c>
      <c r="F13" s="24" t="s">
        <v>92</v>
      </c>
      <c r="G13" s="24">
        <v>8501</v>
      </c>
      <c r="H13" s="24">
        <v>201</v>
      </c>
    </row>
    <row r="14" spans="1:8" x14ac:dyDescent="0.25">
      <c r="A14" s="3">
        <v>45196</v>
      </c>
      <c r="B14" s="24" t="s">
        <v>92</v>
      </c>
      <c r="C14" s="24">
        <v>390</v>
      </c>
      <c r="D14" s="2">
        <v>3697454</v>
      </c>
      <c r="E14" s="24" t="s">
        <v>36</v>
      </c>
      <c r="F14" s="24" t="s">
        <v>92</v>
      </c>
      <c r="G14" s="24">
        <v>8501</v>
      </c>
      <c r="H14" s="24">
        <v>201</v>
      </c>
    </row>
    <row r="15" spans="1:8" x14ac:dyDescent="0.25">
      <c r="A15" s="3">
        <v>45204</v>
      </c>
      <c r="B15" s="24" t="s">
        <v>92</v>
      </c>
      <c r="C15" s="2">
        <v>3490</v>
      </c>
      <c r="D15" s="2">
        <v>3634454</v>
      </c>
      <c r="E15" s="24" t="s">
        <v>35</v>
      </c>
      <c r="F15" s="24" t="s">
        <v>92</v>
      </c>
      <c r="G15" s="24">
        <v>8501</v>
      </c>
      <c r="H15" s="24">
        <v>201</v>
      </c>
    </row>
    <row r="16" spans="1:8" x14ac:dyDescent="0.25">
      <c r="A16" s="3">
        <v>45218</v>
      </c>
      <c r="B16" s="24" t="s">
        <v>92</v>
      </c>
      <c r="C16" s="2">
        <v>3990</v>
      </c>
      <c r="D16" s="2">
        <v>3240231</v>
      </c>
      <c r="E16" s="24" t="s">
        <v>101</v>
      </c>
      <c r="F16" s="24" t="s">
        <v>92</v>
      </c>
      <c r="G16" s="24">
        <v>8501</v>
      </c>
      <c r="H16" s="24">
        <v>201</v>
      </c>
    </row>
    <row r="17" spans="1:8" x14ac:dyDescent="0.25">
      <c r="A17" s="3">
        <v>45244</v>
      </c>
      <c r="B17" s="24" t="s">
        <v>105</v>
      </c>
      <c r="C17" s="2">
        <v>5750</v>
      </c>
      <c r="D17" s="2">
        <v>3293784</v>
      </c>
      <c r="E17" s="24" t="s">
        <v>106</v>
      </c>
      <c r="F17" s="24" t="s">
        <v>105</v>
      </c>
      <c r="G17" s="24">
        <v>8501</v>
      </c>
      <c r="H17" s="24">
        <v>421</v>
      </c>
    </row>
    <row r="18" spans="1:8" x14ac:dyDescent="0.25">
      <c r="A18" s="3">
        <v>45303</v>
      </c>
      <c r="B18" s="24" t="s">
        <v>105</v>
      </c>
      <c r="C18" s="2">
        <v>4841</v>
      </c>
      <c r="D18" s="2">
        <v>1444831</v>
      </c>
      <c r="E18" s="24" t="s">
        <v>109</v>
      </c>
      <c r="F18" s="24"/>
      <c r="G18" s="24"/>
      <c r="H18" s="2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opLeftCell="A13" workbookViewId="0">
      <selection activeCell="G24" sqref="G24"/>
    </sheetView>
  </sheetViews>
  <sheetFormatPr defaultRowHeight="16.5" x14ac:dyDescent="0.25"/>
  <cols>
    <col min="1" max="1" width="13.875" bestFit="1" customWidth="1"/>
    <col min="5" max="5" width="9.5" bestFit="1" customWidth="1"/>
    <col min="6" max="6" width="12.75" bestFit="1" customWidth="1"/>
  </cols>
  <sheetData>
    <row r="1" spans="1:12" x14ac:dyDescent="0.25">
      <c r="A1" s="7" t="s">
        <v>64</v>
      </c>
      <c r="B1" s="8" t="s">
        <v>70</v>
      </c>
      <c r="C1" s="8" t="s">
        <v>71</v>
      </c>
      <c r="D1" s="8" t="s">
        <v>75</v>
      </c>
      <c r="I1" s="8" t="s">
        <v>70</v>
      </c>
      <c r="J1" s="8" t="s">
        <v>71</v>
      </c>
      <c r="K1" s="8" t="s">
        <v>75</v>
      </c>
      <c r="L1" s="8" t="s">
        <v>72</v>
      </c>
    </row>
    <row r="2" spans="1:12" x14ac:dyDescent="0.25">
      <c r="A2" s="7" t="s">
        <v>65</v>
      </c>
      <c r="B2" s="7">
        <v>36.299999999999997</v>
      </c>
      <c r="C2" s="7">
        <v>21.71</v>
      </c>
      <c r="D2" s="7">
        <v>51.15</v>
      </c>
      <c r="I2" s="7">
        <v>36.299999999999997</v>
      </c>
      <c r="J2" s="7">
        <v>21.71</v>
      </c>
      <c r="K2" s="7">
        <v>51.15</v>
      </c>
      <c r="L2" s="7">
        <v>22.23</v>
      </c>
    </row>
    <row r="3" spans="1:12" x14ac:dyDescent="0.25">
      <c r="A3" s="7" t="s">
        <v>66</v>
      </c>
      <c r="B3" s="7">
        <v>0.7</v>
      </c>
      <c r="C3" s="7">
        <v>0.4</v>
      </c>
      <c r="D3" s="7">
        <v>0.84</v>
      </c>
      <c r="I3" s="7">
        <v>0.7</v>
      </c>
      <c r="J3" s="7">
        <v>0.4</v>
      </c>
      <c r="K3" s="7">
        <v>0.84</v>
      </c>
      <c r="L3" s="7">
        <v>0.55000000000000004</v>
      </c>
    </row>
    <row r="4" spans="1:12" x14ac:dyDescent="0.25">
      <c r="A4" s="7" t="s">
        <v>67</v>
      </c>
      <c r="B4" s="7">
        <v>16</v>
      </c>
      <c r="C4" s="7">
        <v>25</v>
      </c>
      <c r="D4" s="7">
        <v>0</v>
      </c>
      <c r="I4" s="7">
        <v>16</v>
      </c>
      <c r="J4" s="7">
        <v>28</v>
      </c>
      <c r="K4" s="7">
        <v>0</v>
      </c>
      <c r="L4" s="7">
        <v>20</v>
      </c>
    </row>
    <row r="5" spans="1:12" x14ac:dyDescent="0.25">
      <c r="A5" s="7" t="s">
        <v>69</v>
      </c>
      <c r="B5" s="7">
        <f>(B4*B2)/10</f>
        <v>58.08</v>
      </c>
      <c r="C5" s="7">
        <f t="shared" ref="C5:D5" si="0">(C4*C2)/10</f>
        <v>54.274999999999999</v>
      </c>
      <c r="D5" s="7">
        <f t="shared" si="0"/>
        <v>0</v>
      </c>
    </row>
    <row r="6" spans="1:12" x14ac:dyDescent="0.25">
      <c r="A6" s="7"/>
      <c r="B6" s="7">
        <f>B3*4/B2</f>
        <v>7.7134986225895319E-2</v>
      </c>
      <c r="C6" s="7">
        <f t="shared" ref="C6:D6" si="1">C3*4/C2</f>
        <v>7.3698756333486867E-2</v>
      </c>
      <c r="D6" s="7">
        <f t="shared" si="1"/>
        <v>6.5689149560117302E-2</v>
      </c>
    </row>
    <row r="7" spans="1:12" ht="17.25" thickBot="1" x14ac:dyDescent="0.3">
      <c r="A7" s="7" t="s">
        <v>77</v>
      </c>
      <c r="B7" s="7">
        <f>B4*1000*B3</f>
        <v>11200</v>
      </c>
      <c r="C7" s="7">
        <f>C4*1000*C3</f>
        <v>10000</v>
      </c>
      <c r="D7" s="7">
        <f t="shared" ref="D7" si="2">D4*1000*D3</f>
        <v>0</v>
      </c>
    </row>
    <row r="8" spans="1:12" x14ac:dyDescent="0.25">
      <c r="A8" s="7" t="s">
        <v>78</v>
      </c>
      <c r="B8" s="9" t="s">
        <v>74</v>
      </c>
      <c r="C8" s="10" t="s">
        <v>73</v>
      </c>
      <c r="D8" s="7" t="s">
        <v>76</v>
      </c>
      <c r="I8" s="21" t="s">
        <v>68</v>
      </c>
      <c r="J8" s="22">
        <v>163</v>
      </c>
    </row>
    <row r="9" spans="1:12" ht="17.25" thickBot="1" x14ac:dyDescent="0.3">
      <c r="A9" s="14" t="s">
        <v>80</v>
      </c>
      <c r="B9" s="11">
        <f>B4/B13</f>
        <v>0.3902439024390244</v>
      </c>
      <c r="C9" s="7">
        <f>C4/B13</f>
        <v>0.6097560975609756</v>
      </c>
      <c r="D9" s="7">
        <f>D4/B13</f>
        <v>0</v>
      </c>
      <c r="I9" s="15" t="s">
        <v>81</v>
      </c>
      <c r="J9" s="16">
        <v>33400</v>
      </c>
    </row>
    <row r="10" spans="1:12" x14ac:dyDescent="0.25">
      <c r="A10" s="21" t="s">
        <v>68</v>
      </c>
      <c r="B10" s="22">
        <f>D5+C5+B5</f>
        <v>112.35499999999999</v>
      </c>
      <c r="I10" s="19" t="s">
        <v>82</v>
      </c>
      <c r="J10" s="20">
        <f>(J9*4)/(J8*10000)</f>
        <v>8.1963190184049073E-2</v>
      </c>
    </row>
    <row r="11" spans="1:12" ht="17.25" thickBot="1" x14ac:dyDescent="0.3">
      <c r="A11" s="15" t="s">
        <v>81</v>
      </c>
      <c r="B11" s="16">
        <f>D7+C7+B7</f>
        <v>21200</v>
      </c>
      <c r="I11" s="17" t="s">
        <v>79</v>
      </c>
      <c r="J11" s="18">
        <f>SUM(J2:M2)</f>
        <v>95.09</v>
      </c>
    </row>
    <row r="12" spans="1:12" x14ac:dyDescent="0.25">
      <c r="A12" s="19" t="s">
        <v>82</v>
      </c>
      <c r="B12" s="20">
        <f>(B11*4)/(B10*10000)</f>
        <v>7.5475056739797958E-2</v>
      </c>
    </row>
    <row r="13" spans="1:12" ht="17.25" thickBot="1" x14ac:dyDescent="0.3">
      <c r="A13" s="17" t="s">
        <v>79</v>
      </c>
      <c r="B13" s="18">
        <f>SUM(B4:D4)</f>
        <v>41</v>
      </c>
    </row>
    <row r="15" spans="1:12" x14ac:dyDescent="0.25">
      <c r="B15" s="13"/>
      <c r="C15" s="13"/>
      <c r="D15" s="13"/>
    </row>
    <row r="16" spans="1:12" x14ac:dyDescent="0.25">
      <c r="B16" s="13"/>
      <c r="C16" s="13"/>
      <c r="D16" s="13"/>
    </row>
    <row r="17" spans="1:13" x14ac:dyDescent="0.25">
      <c r="B17" s="13"/>
      <c r="C17" s="13"/>
      <c r="D17" s="13"/>
    </row>
    <row r="19" spans="1:13" x14ac:dyDescent="0.25">
      <c r="A19" t="s">
        <v>117</v>
      </c>
      <c r="B19">
        <v>202403</v>
      </c>
      <c r="F19" t="s">
        <v>116</v>
      </c>
      <c r="G19">
        <v>400</v>
      </c>
    </row>
    <row r="21" spans="1:13" x14ac:dyDescent="0.25">
      <c r="A21" s="7" t="s">
        <v>64</v>
      </c>
      <c r="B21" s="8" t="s">
        <v>70</v>
      </c>
      <c r="C21" s="8" t="s">
        <v>71</v>
      </c>
      <c r="D21" s="8" t="s">
        <v>75</v>
      </c>
      <c r="E21" s="8" t="s">
        <v>83</v>
      </c>
      <c r="F21" s="8" t="s">
        <v>85</v>
      </c>
      <c r="G21" s="8" t="s">
        <v>102</v>
      </c>
      <c r="H21" s="31" t="s">
        <v>110</v>
      </c>
      <c r="I21" s="31" t="s">
        <v>111</v>
      </c>
      <c r="J21" s="8" t="s">
        <v>119</v>
      </c>
      <c r="K21" s="31" t="s">
        <v>118</v>
      </c>
      <c r="L21" s="31" t="s">
        <v>120</v>
      </c>
      <c r="M21" s="31" t="s">
        <v>121</v>
      </c>
    </row>
    <row r="22" spans="1:13" x14ac:dyDescent="0.25">
      <c r="A22" s="7" t="s">
        <v>65</v>
      </c>
      <c r="B22" s="7">
        <v>36.299999999999997</v>
      </c>
      <c r="C22" s="7">
        <v>21.71</v>
      </c>
      <c r="D22" s="7">
        <v>51.15</v>
      </c>
      <c r="E22" s="12">
        <v>15.88</v>
      </c>
      <c r="F22" s="12">
        <v>35.67</v>
      </c>
      <c r="G22" s="12">
        <v>10.6</v>
      </c>
      <c r="H22" s="12">
        <v>13</v>
      </c>
      <c r="I22" s="7"/>
      <c r="J22" s="12"/>
      <c r="K22" s="7"/>
      <c r="L22" s="7"/>
      <c r="M22" s="7"/>
    </row>
    <row r="23" spans="1:13" x14ac:dyDescent="0.25">
      <c r="A23" s="7" t="s">
        <v>66</v>
      </c>
      <c r="B23" s="7">
        <v>0.7</v>
      </c>
      <c r="C23" s="7">
        <v>0.4</v>
      </c>
      <c r="D23" s="7">
        <v>0.84</v>
      </c>
      <c r="E23" s="12">
        <v>8.4000000000000005E-2</v>
      </c>
      <c r="F23" s="12">
        <v>0.45</v>
      </c>
      <c r="G23" s="12">
        <v>0.26</v>
      </c>
      <c r="H23" s="7"/>
      <c r="I23" s="7"/>
      <c r="J23" s="7"/>
      <c r="K23" s="7">
        <v>7.0000000000000007E-2</v>
      </c>
      <c r="L23" s="7">
        <v>0.22</v>
      </c>
      <c r="M23" s="7"/>
    </row>
    <row r="24" spans="1:13" x14ac:dyDescent="0.25">
      <c r="A24" s="7" t="s">
        <v>67</v>
      </c>
      <c r="B24" s="23">
        <v>13.513</v>
      </c>
      <c r="C24" s="7">
        <v>46.1</v>
      </c>
      <c r="D24" s="7">
        <v>8.1240000000000006</v>
      </c>
      <c r="E24" s="12">
        <v>239</v>
      </c>
      <c r="F24" s="12">
        <v>54.518999999999998</v>
      </c>
      <c r="G24" s="12">
        <v>31.786999999999999</v>
      </c>
      <c r="H24" s="12">
        <v>15.602</v>
      </c>
      <c r="I24" s="12">
        <v>17.777000000000001</v>
      </c>
      <c r="J24" s="12">
        <v>6.93</v>
      </c>
      <c r="K24" s="12">
        <v>26</v>
      </c>
      <c r="L24" s="12">
        <v>4</v>
      </c>
      <c r="M24" s="12">
        <v>5</v>
      </c>
    </row>
    <row r="25" spans="1:13" x14ac:dyDescent="0.25">
      <c r="A25" s="7" t="s">
        <v>69</v>
      </c>
      <c r="B25" s="7">
        <f>(B24*B22)/10</f>
        <v>49.052189999999996</v>
      </c>
      <c r="C25" s="7">
        <f t="shared" ref="C25" si="3">(C24*C22)/10</f>
        <v>100.0831</v>
      </c>
      <c r="D25" s="7">
        <f t="shared" ref="D25" si="4">(D24*D22)/10</f>
        <v>41.554259999999999</v>
      </c>
      <c r="E25" s="7">
        <f>(E24*E22)/10</f>
        <v>379.53200000000004</v>
      </c>
      <c r="F25" s="7">
        <f>(F24*F22)/10</f>
        <v>194.46927299999999</v>
      </c>
      <c r="G25" s="7">
        <f>(G24*G22)/10</f>
        <v>33.694219999999994</v>
      </c>
      <c r="H25" s="7"/>
      <c r="I25" s="7"/>
      <c r="J25" s="7"/>
      <c r="K25" s="7"/>
      <c r="L25" s="7"/>
      <c r="M25" s="7"/>
    </row>
    <row r="26" spans="1:13" x14ac:dyDescent="0.25">
      <c r="A26" s="7"/>
      <c r="B26" s="7">
        <f>B23*4/B22</f>
        <v>7.7134986225895319E-2</v>
      </c>
      <c r="C26" s="7">
        <f t="shared" ref="C26:D26" si="5">C23*4/C22</f>
        <v>7.3698756333486867E-2</v>
      </c>
      <c r="D26" s="7">
        <f t="shared" si="5"/>
        <v>6.5689149560117302E-2</v>
      </c>
      <c r="E26" s="7">
        <f t="shared" ref="E26:F26" si="6">E23*4/E22</f>
        <v>2.1158690176322419E-2</v>
      </c>
      <c r="F26" s="7">
        <f t="shared" si="6"/>
        <v>5.0462573591253154E-2</v>
      </c>
      <c r="G26" s="7">
        <f t="shared" ref="G26" si="7">G23*4/G22</f>
        <v>9.8113207547169817E-2</v>
      </c>
      <c r="H26" s="7">
        <v>11341</v>
      </c>
      <c r="I26" s="7">
        <v>8691</v>
      </c>
      <c r="J26" s="7"/>
      <c r="K26" s="7"/>
      <c r="L26" s="7"/>
      <c r="M26" s="7"/>
    </row>
    <row r="27" spans="1:13" x14ac:dyDescent="0.25">
      <c r="A27" s="7" t="s">
        <v>77</v>
      </c>
      <c r="B27" s="7">
        <f>B24*B23*1000-G19</f>
        <v>9059.0999999999985</v>
      </c>
      <c r="C27" s="7">
        <f>C24*1000*C23-G19</f>
        <v>18040</v>
      </c>
      <c r="D27" s="7">
        <f>D24*1000*D23-G19</f>
        <v>6424.1600000000008</v>
      </c>
      <c r="E27" s="7">
        <f>E24*1000*E23</f>
        <v>20076</v>
      </c>
      <c r="F27" s="7">
        <f>F24*1000*F23</f>
        <v>24533.55</v>
      </c>
      <c r="G27" s="7">
        <f>G24*1000*G23-G19</f>
        <v>7864.6200000000008</v>
      </c>
      <c r="H27" s="7"/>
      <c r="I27" s="7"/>
      <c r="J27" s="7"/>
      <c r="K27" s="7">
        <f>K24*1000*K23</f>
        <v>1820.0000000000002</v>
      </c>
      <c r="L27" s="7">
        <f>L24*1000*L23</f>
        <v>880</v>
      </c>
      <c r="M27" s="7"/>
    </row>
    <row r="28" spans="1:13" x14ac:dyDescent="0.25">
      <c r="A28" s="7" t="s">
        <v>78</v>
      </c>
      <c r="B28" s="9" t="s">
        <v>87</v>
      </c>
      <c r="C28" s="10" t="s">
        <v>73</v>
      </c>
      <c r="D28" s="7" t="s">
        <v>76</v>
      </c>
      <c r="E28" s="25" t="s">
        <v>84</v>
      </c>
      <c r="F28" s="33" t="s">
        <v>86</v>
      </c>
      <c r="G28" s="9" t="s">
        <v>87</v>
      </c>
      <c r="H28" s="7"/>
      <c r="I28" s="7"/>
      <c r="J28" s="7"/>
      <c r="K28" s="25" t="s">
        <v>84</v>
      </c>
      <c r="L28" s="33" t="s">
        <v>86</v>
      </c>
      <c r="M28" s="7"/>
    </row>
    <row r="29" spans="1:13" x14ac:dyDescent="0.25">
      <c r="A29" s="12"/>
      <c r="B29" s="7"/>
      <c r="C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25">
      <c r="A30" s="12" t="s">
        <v>115</v>
      </c>
      <c r="B30" s="7" t="s">
        <v>88</v>
      </c>
      <c r="C30" s="7" t="s">
        <v>89</v>
      </c>
      <c r="D30" s="7" t="s">
        <v>90</v>
      </c>
      <c r="E30" s="25" t="s">
        <v>84</v>
      </c>
      <c r="F30" s="7" t="s">
        <v>91</v>
      </c>
      <c r="G30" s="7" t="s">
        <v>73</v>
      </c>
      <c r="H30" s="7">
        <v>8</v>
      </c>
      <c r="I30" s="7">
        <v>8</v>
      </c>
      <c r="J30" s="7"/>
      <c r="K30" s="25" t="s">
        <v>84</v>
      </c>
      <c r="L30" s="7" t="s">
        <v>91</v>
      </c>
      <c r="M30" s="7"/>
    </row>
    <row r="31" spans="1:13" x14ac:dyDescent="0.25">
      <c r="A31" s="7" t="s">
        <v>114</v>
      </c>
      <c r="B31" s="7" t="s">
        <v>107</v>
      </c>
      <c r="C31" s="7" t="s">
        <v>107</v>
      </c>
      <c r="D31" s="7" t="s">
        <v>107</v>
      </c>
      <c r="E31" s="7" t="s">
        <v>122</v>
      </c>
      <c r="F31" s="7" t="s">
        <v>108</v>
      </c>
      <c r="G31" s="7" t="s">
        <v>108</v>
      </c>
      <c r="H31" s="7" t="s">
        <v>112</v>
      </c>
      <c r="I31" s="7" t="s">
        <v>113</v>
      </c>
      <c r="J31" s="7"/>
      <c r="K31" s="7"/>
      <c r="L31" s="7"/>
      <c r="M31" s="7"/>
    </row>
    <row r="37" spans="1:2" ht="17.25" thickBot="1" x14ac:dyDescent="0.3"/>
    <row r="38" spans="1:2" x14ac:dyDescent="0.25">
      <c r="A38" s="26">
        <v>1</v>
      </c>
      <c r="B38" s="27">
        <f>D27+E27+F27+K27+L27</f>
        <v>53733.71</v>
      </c>
    </row>
    <row r="39" spans="1:2" x14ac:dyDescent="0.25">
      <c r="A39" s="28">
        <v>2</v>
      </c>
      <c r="B39" s="29">
        <f>B27+E27+G27+K27</f>
        <v>38819.72</v>
      </c>
    </row>
    <row r="40" spans="1:2" x14ac:dyDescent="0.25">
      <c r="A40" s="28">
        <v>3</v>
      </c>
      <c r="B40" s="29">
        <f>C27+E27+K27</f>
        <v>39936</v>
      </c>
    </row>
    <row r="41" spans="1:2" ht="17.25" thickBot="1" x14ac:dyDescent="0.3">
      <c r="A41" s="17"/>
      <c r="B41" s="30"/>
    </row>
    <row r="45" spans="1:2" x14ac:dyDescent="0.25">
      <c r="A45">
        <f>(B38+B39+B40)*4/10000</f>
        <v>52.995771999999995</v>
      </c>
    </row>
    <row r="46" spans="1:2" x14ac:dyDescent="0.25">
      <c r="A46">
        <f>B25+C25+D25+E25+F25</f>
        <v>764.69082299999991</v>
      </c>
    </row>
    <row r="49" spans="1:1" x14ac:dyDescent="0.25">
      <c r="A49">
        <f>A45/A46</f>
        <v>6.9303528178995821E-2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A49"/>
  <sheetViews>
    <sheetView tabSelected="1" zoomScale="70" zoomScaleNormal="70" workbookViewId="0">
      <selection activeCell="P11" sqref="P11"/>
    </sheetView>
  </sheetViews>
  <sheetFormatPr defaultRowHeight="16.5" x14ac:dyDescent="0.25"/>
  <sheetData>
    <row r="4" spans="1:27" x14ac:dyDescent="0.25">
      <c r="B4" s="32" t="s">
        <v>124</v>
      </c>
    </row>
    <row r="5" spans="1:27" x14ac:dyDescent="0.25">
      <c r="A5" s="7"/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  <c r="AA5" s="7">
        <v>12</v>
      </c>
    </row>
    <row r="6" spans="1:27" x14ac:dyDescent="0.25">
      <c r="A6" s="8" t="s">
        <v>70</v>
      </c>
      <c r="B6" s="7"/>
      <c r="C6" s="7">
        <f>C23*$B$38*1000-D20</f>
        <v>8700</v>
      </c>
      <c r="D6" s="7"/>
      <c r="E6" s="7"/>
      <c r="F6" s="7">
        <f>F23*E38*1000-D20</f>
        <v>10275.27</v>
      </c>
      <c r="G6" s="7"/>
      <c r="H6" s="7"/>
      <c r="I6" s="7"/>
      <c r="J6" s="7"/>
      <c r="K6" s="7"/>
      <c r="L6" s="7"/>
      <c r="M6" s="7"/>
      <c r="AA6" s="7"/>
    </row>
    <row r="7" spans="1:27" x14ac:dyDescent="0.25">
      <c r="A7" s="8" t="s">
        <v>71</v>
      </c>
      <c r="B7" s="7"/>
      <c r="C7" s="7"/>
      <c r="D7" s="7">
        <f>D24*C39*1000-D20</f>
        <v>17200</v>
      </c>
      <c r="E7" s="12"/>
      <c r="F7" s="12"/>
      <c r="G7" s="7">
        <f>F24*$F$39*1000-D20</f>
        <v>23111.000000000004</v>
      </c>
      <c r="H7" s="12"/>
      <c r="I7" s="7"/>
      <c r="J7" s="12"/>
      <c r="K7" s="7"/>
      <c r="L7" s="7"/>
      <c r="M7" s="7"/>
      <c r="AA7" s="7"/>
    </row>
    <row r="8" spans="1:27" x14ac:dyDescent="0.25">
      <c r="A8" s="8" t="s">
        <v>75</v>
      </c>
      <c r="B8" s="7"/>
      <c r="C8" s="7"/>
      <c r="D8" s="7"/>
      <c r="E8" s="7">
        <f>D25*D40*1000-D20</f>
        <v>5760</v>
      </c>
      <c r="F8" s="12"/>
      <c r="G8" s="12"/>
      <c r="H8" s="7"/>
      <c r="I8" s="7"/>
      <c r="J8" s="7"/>
      <c r="K8" s="7"/>
      <c r="L8" s="7"/>
      <c r="M8" s="7"/>
      <c r="AA8" s="12"/>
    </row>
    <row r="9" spans="1:27" x14ac:dyDescent="0.25">
      <c r="A9" s="8" t="s">
        <v>83</v>
      </c>
      <c r="B9" s="7"/>
      <c r="C9" s="7"/>
      <c r="D9" s="7"/>
      <c r="E9" s="12"/>
      <c r="F9" s="7">
        <f>E26*E41*1000-D20</f>
        <v>150800</v>
      </c>
      <c r="G9" s="7">
        <f>F26*F41*1000-D20</f>
        <v>200360</v>
      </c>
      <c r="H9" s="12"/>
      <c r="I9" s="12"/>
      <c r="J9" s="12"/>
      <c r="K9" s="12"/>
      <c r="L9" s="12"/>
      <c r="M9" s="12"/>
      <c r="AA9" s="7"/>
    </row>
    <row r="10" spans="1:27" x14ac:dyDescent="0.25">
      <c r="A10" s="8" t="s">
        <v>85</v>
      </c>
      <c r="B10" s="7"/>
      <c r="C10" s="7"/>
      <c r="D10" s="7"/>
      <c r="E10" s="7">
        <f>E27*D42*1000-D20</f>
        <v>22920</v>
      </c>
      <c r="G10" s="7"/>
      <c r="H10" s="7"/>
      <c r="I10" s="7"/>
      <c r="J10" s="7"/>
      <c r="K10" s="7"/>
      <c r="L10" s="7"/>
      <c r="M10" s="7"/>
      <c r="AA10" s="7"/>
    </row>
    <row r="11" spans="1:27" x14ac:dyDescent="0.25">
      <c r="A11" s="8" t="s">
        <v>102</v>
      </c>
      <c r="B11" s="7"/>
      <c r="C11" s="7">
        <f>B28*B43*1000-D20</f>
        <v>6360</v>
      </c>
      <c r="D11" s="7"/>
      <c r="E11" s="7"/>
      <c r="F11" s="7"/>
      <c r="G11" s="7"/>
      <c r="H11" s="7"/>
      <c r="I11" s="7"/>
      <c r="J11" s="7"/>
      <c r="K11" s="7"/>
      <c r="L11" s="7"/>
      <c r="M11" s="7"/>
      <c r="AA11" s="7"/>
    </row>
    <row r="12" spans="1:27" x14ac:dyDescent="0.25">
      <c r="A12" s="31" t="s">
        <v>110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AA12" s="7"/>
    </row>
    <row r="13" spans="1:27" x14ac:dyDescent="0.25">
      <c r="A13" s="31" t="s">
        <v>111</v>
      </c>
      <c r="B13" s="9"/>
      <c r="C13" s="10"/>
      <c r="D13" s="7"/>
      <c r="E13" s="33"/>
      <c r="F13" s="33"/>
      <c r="G13" s="9"/>
      <c r="H13" s="7"/>
      <c r="I13" s="7"/>
      <c r="J13" s="7"/>
      <c r="K13" s="33"/>
      <c r="L13" s="33"/>
      <c r="M13" s="7"/>
      <c r="AA13" s="7"/>
    </row>
    <row r="14" spans="1:27" x14ac:dyDescent="0.25">
      <c r="A14" s="8" t="s">
        <v>119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AA14" s="7"/>
    </row>
    <row r="15" spans="1:27" x14ac:dyDescent="0.25">
      <c r="A15" s="31" t="s">
        <v>118</v>
      </c>
      <c r="B15" s="7"/>
      <c r="C15" s="7"/>
      <c r="D15" s="7"/>
      <c r="E15" s="33"/>
      <c r="F15" s="7"/>
      <c r="G15" s="7"/>
      <c r="H15" s="7"/>
      <c r="I15" s="7"/>
      <c r="J15" s="7"/>
      <c r="K15" s="25"/>
      <c r="L15" s="7"/>
      <c r="M15" s="7"/>
      <c r="AA15" s="7"/>
    </row>
    <row r="16" spans="1:27" x14ac:dyDescent="0.25">
      <c r="A16" s="31" t="s">
        <v>120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AA16" s="7"/>
    </row>
    <row r="17" spans="1:13" x14ac:dyDescent="0.25">
      <c r="A17" s="31" t="s">
        <v>121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20" spans="1:13" x14ac:dyDescent="0.25">
      <c r="C20" s="32" t="s">
        <v>116</v>
      </c>
      <c r="D20" s="32">
        <v>400</v>
      </c>
    </row>
    <row r="21" spans="1:13" x14ac:dyDescent="0.25">
      <c r="B21" t="s">
        <v>123</v>
      </c>
    </row>
    <row r="22" spans="1:13" x14ac:dyDescent="0.25">
      <c r="A22" s="35" t="s">
        <v>125</v>
      </c>
      <c r="B22" s="35">
        <v>1</v>
      </c>
      <c r="C22" s="35">
        <v>2</v>
      </c>
      <c r="D22" s="35">
        <v>3</v>
      </c>
      <c r="E22" s="35">
        <v>4</v>
      </c>
      <c r="F22" s="35">
        <v>5</v>
      </c>
      <c r="G22" s="35">
        <v>6</v>
      </c>
      <c r="H22" s="35">
        <v>7</v>
      </c>
      <c r="I22" s="35">
        <v>8</v>
      </c>
      <c r="J22" s="35">
        <v>9</v>
      </c>
      <c r="K22" s="35">
        <v>10</v>
      </c>
      <c r="L22" s="35">
        <v>11</v>
      </c>
      <c r="M22" s="35">
        <v>12</v>
      </c>
    </row>
    <row r="23" spans="1:13" x14ac:dyDescent="0.25">
      <c r="A23" s="8" t="s">
        <v>70</v>
      </c>
      <c r="B23" s="7"/>
      <c r="C23" s="7">
        <v>13</v>
      </c>
      <c r="D23" s="7">
        <v>13</v>
      </c>
      <c r="E23" s="7">
        <v>13</v>
      </c>
      <c r="F23" s="7">
        <v>13.513</v>
      </c>
      <c r="G23" s="7">
        <v>13.513</v>
      </c>
      <c r="H23" s="7"/>
      <c r="I23" s="7"/>
      <c r="J23" s="7"/>
      <c r="K23" s="7"/>
      <c r="L23" s="7"/>
      <c r="M23" s="7"/>
    </row>
    <row r="24" spans="1:13" x14ac:dyDescent="0.25">
      <c r="A24" s="8" t="s">
        <v>71</v>
      </c>
      <c r="B24" s="7">
        <v>43</v>
      </c>
      <c r="C24" s="7">
        <v>44</v>
      </c>
      <c r="D24" s="12">
        <v>44</v>
      </c>
      <c r="E24" s="12">
        <v>45</v>
      </c>
      <c r="F24" s="12">
        <v>46.1</v>
      </c>
      <c r="G24" s="12">
        <v>46.1</v>
      </c>
      <c r="H24" s="12"/>
      <c r="I24" s="7"/>
      <c r="J24" s="12"/>
      <c r="K24" s="7"/>
      <c r="L24" s="7"/>
      <c r="M24" s="7"/>
    </row>
    <row r="25" spans="1:13" x14ac:dyDescent="0.25">
      <c r="A25" s="8" t="s">
        <v>75</v>
      </c>
      <c r="B25" s="7"/>
      <c r="C25" s="7"/>
      <c r="D25" s="7">
        <v>7</v>
      </c>
      <c r="E25" s="12"/>
      <c r="F25" s="12"/>
      <c r="G25" s="12">
        <v>8.1240000000000006</v>
      </c>
      <c r="H25" s="7"/>
      <c r="I25" s="7"/>
      <c r="J25" s="7"/>
      <c r="K25" s="7"/>
      <c r="L25" s="7"/>
      <c r="M25" s="7"/>
    </row>
    <row r="26" spans="1:13" x14ac:dyDescent="0.25">
      <c r="A26" s="8" t="s">
        <v>83</v>
      </c>
      <c r="B26" s="7"/>
      <c r="C26" s="7">
        <v>160</v>
      </c>
      <c r="D26" s="7">
        <v>160</v>
      </c>
      <c r="E26" s="12">
        <v>180</v>
      </c>
      <c r="F26" s="12">
        <v>239</v>
      </c>
      <c r="G26" s="12">
        <v>239</v>
      </c>
      <c r="H26" s="12"/>
      <c r="I26" s="12"/>
      <c r="J26" s="12"/>
      <c r="K26" s="12"/>
      <c r="L26" s="12"/>
      <c r="M26" s="7"/>
    </row>
    <row r="27" spans="1:13" x14ac:dyDescent="0.25">
      <c r="A27" s="8" t="s">
        <v>85</v>
      </c>
      <c r="B27" s="7"/>
      <c r="C27" s="7"/>
      <c r="D27" s="7"/>
      <c r="E27" s="7">
        <v>53</v>
      </c>
      <c r="F27" s="7">
        <v>54</v>
      </c>
      <c r="G27" s="7">
        <v>54.518999999999998</v>
      </c>
      <c r="H27" s="7"/>
      <c r="I27" s="7"/>
      <c r="J27" s="7"/>
      <c r="K27" s="7"/>
      <c r="L27" s="7"/>
      <c r="M27" s="7"/>
    </row>
    <row r="28" spans="1:13" x14ac:dyDescent="0.25">
      <c r="A28" s="8" t="s">
        <v>102</v>
      </c>
      <c r="B28" s="7">
        <v>26</v>
      </c>
      <c r="C28" s="7">
        <v>27</v>
      </c>
      <c r="D28" s="7">
        <v>28</v>
      </c>
      <c r="E28" s="7">
        <v>29</v>
      </c>
      <c r="F28" s="7">
        <v>30</v>
      </c>
      <c r="G28" s="7">
        <v>31.786999999999999</v>
      </c>
      <c r="H28" s="7"/>
      <c r="I28" s="7"/>
      <c r="J28" s="7"/>
      <c r="K28" s="7"/>
      <c r="L28" s="7"/>
      <c r="M28" s="7"/>
    </row>
    <row r="29" spans="1:13" x14ac:dyDescent="0.25">
      <c r="A29" s="31" t="s">
        <v>110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25">
      <c r="A30" s="31" t="s">
        <v>111</v>
      </c>
      <c r="B30" s="9"/>
      <c r="C30" s="10"/>
      <c r="D30" s="7"/>
      <c r="E30" s="25"/>
      <c r="F30" s="33"/>
      <c r="G30" s="9"/>
      <c r="H30" s="7"/>
      <c r="I30" s="7"/>
      <c r="J30" s="7"/>
      <c r="K30" s="25"/>
      <c r="L30" s="33"/>
      <c r="M30" s="7"/>
    </row>
    <row r="31" spans="1:13" x14ac:dyDescent="0.25">
      <c r="A31" s="8" t="s">
        <v>119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31" t="s">
        <v>118</v>
      </c>
      <c r="B32" s="7"/>
      <c r="C32" s="7"/>
      <c r="D32" s="7"/>
      <c r="E32" s="25"/>
      <c r="F32" s="7"/>
      <c r="G32" s="7"/>
      <c r="H32" s="7"/>
      <c r="I32" s="7"/>
      <c r="J32" s="7"/>
      <c r="K32" s="25"/>
      <c r="L32" s="7"/>
      <c r="M32" s="7"/>
    </row>
    <row r="33" spans="1:13" x14ac:dyDescent="0.25">
      <c r="A33" s="31" t="s">
        <v>120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25">
      <c r="A34" s="31" t="s">
        <v>121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6" spans="1:13" x14ac:dyDescent="0.25">
      <c r="A36" s="32"/>
      <c r="B36" s="32" t="s">
        <v>126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 spans="1:13" x14ac:dyDescent="0.25">
      <c r="A37" s="35" t="s">
        <v>125</v>
      </c>
      <c r="B37" s="35">
        <v>1</v>
      </c>
      <c r="C37" s="35">
        <v>2</v>
      </c>
      <c r="D37" s="35">
        <v>3</v>
      </c>
      <c r="E37" s="35">
        <v>4</v>
      </c>
      <c r="F37" s="35">
        <v>5</v>
      </c>
      <c r="G37" s="35">
        <v>6</v>
      </c>
      <c r="H37" s="35">
        <v>7</v>
      </c>
      <c r="I37" s="35">
        <v>8</v>
      </c>
      <c r="J37" s="35">
        <v>9</v>
      </c>
      <c r="K37" s="35">
        <v>10</v>
      </c>
      <c r="L37" s="35">
        <v>11</v>
      </c>
      <c r="M37" s="35">
        <v>12</v>
      </c>
    </row>
    <row r="38" spans="1:13" x14ac:dyDescent="0.25">
      <c r="A38" s="8" t="s">
        <v>70</v>
      </c>
      <c r="B38" s="7">
        <v>0.7</v>
      </c>
      <c r="D38" s="7"/>
      <c r="E38" s="7">
        <v>0.79</v>
      </c>
      <c r="G38" s="7"/>
      <c r="H38" s="7"/>
      <c r="I38" s="7"/>
      <c r="J38" s="7"/>
      <c r="K38" s="7"/>
      <c r="L38" s="7"/>
      <c r="M38" s="7"/>
    </row>
    <row r="39" spans="1:13" x14ac:dyDescent="0.25">
      <c r="A39" s="8" t="s">
        <v>71</v>
      </c>
      <c r="C39" s="7">
        <v>0.4</v>
      </c>
      <c r="E39" s="12"/>
      <c r="F39" s="12">
        <v>0.51</v>
      </c>
      <c r="H39" s="12"/>
      <c r="I39" s="7"/>
      <c r="J39" s="12"/>
      <c r="K39" s="7"/>
      <c r="L39" s="7"/>
      <c r="M39" s="7"/>
    </row>
    <row r="40" spans="1:13" x14ac:dyDescent="0.25">
      <c r="A40" s="8" t="s">
        <v>75</v>
      </c>
      <c r="B40" s="7"/>
      <c r="C40" s="7"/>
      <c r="D40" s="7">
        <v>0.88</v>
      </c>
      <c r="E40" s="12"/>
      <c r="F40" s="12"/>
      <c r="G40" s="12"/>
      <c r="H40" s="7"/>
      <c r="I40" s="7"/>
      <c r="J40" s="7"/>
      <c r="K40" s="7"/>
      <c r="L40" s="7"/>
      <c r="M40" s="7"/>
    </row>
    <row r="41" spans="1:13" x14ac:dyDescent="0.25">
      <c r="A41" s="8" t="s">
        <v>83</v>
      </c>
      <c r="B41" s="7">
        <v>0.84</v>
      </c>
      <c r="C41" s="7">
        <v>0.84</v>
      </c>
      <c r="D41" s="7">
        <v>0.84</v>
      </c>
      <c r="E41" s="7">
        <v>0.84</v>
      </c>
      <c r="F41" s="7">
        <v>0.84</v>
      </c>
      <c r="G41" s="7">
        <v>0.84</v>
      </c>
      <c r="H41" s="12"/>
      <c r="I41" s="12"/>
      <c r="J41" s="12"/>
      <c r="K41" s="12"/>
      <c r="L41" s="12"/>
      <c r="M41" s="7"/>
    </row>
    <row r="42" spans="1:13" x14ac:dyDescent="0.25">
      <c r="A42" s="8" t="s">
        <v>85</v>
      </c>
      <c r="B42" s="7"/>
      <c r="C42" s="7"/>
      <c r="D42" s="7">
        <v>0.44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8" t="s">
        <v>102</v>
      </c>
      <c r="B43" s="7">
        <v>0.26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31" t="s">
        <v>110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31" t="s">
        <v>111</v>
      </c>
      <c r="B45" s="9"/>
      <c r="C45" s="10"/>
      <c r="D45" s="7"/>
      <c r="E45" s="25"/>
      <c r="F45" s="33"/>
      <c r="G45" s="9"/>
      <c r="H45" s="7"/>
      <c r="I45" s="7"/>
      <c r="J45" s="7"/>
      <c r="K45" s="25"/>
      <c r="L45" s="33"/>
      <c r="M45" s="7"/>
    </row>
    <row r="46" spans="1:13" x14ac:dyDescent="0.25">
      <c r="A46" s="8" t="s">
        <v>119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25">
      <c r="A47" s="31" t="s">
        <v>118</v>
      </c>
      <c r="B47" s="7"/>
      <c r="C47" s="7"/>
      <c r="D47" s="7"/>
      <c r="E47" s="25"/>
      <c r="F47" s="7"/>
      <c r="G47" s="7"/>
      <c r="H47" s="7"/>
      <c r="I47" s="7"/>
      <c r="J47" s="7"/>
      <c r="K47" s="25"/>
      <c r="L47" s="7"/>
      <c r="M47" s="7"/>
    </row>
    <row r="48" spans="1:13" x14ac:dyDescent="0.25">
      <c r="A48" s="31" t="s">
        <v>120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25">
      <c r="A49" s="31" t="s">
        <v>121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工作表3</vt:lpstr>
      <vt:lpstr>工作表2</vt:lpstr>
      <vt:lpstr>工作表1</vt:lpstr>
      <vt:lpstr>每月V1</vt:lpstr>
      <vt:lpstr>每月V2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崔德昌</dc:creator>
  <cp:lastModifiedBy>崔德昌</cp:lastModifiedBy>
  <dcterms:created xsi:type="dcterms:W3CDTF">2024-02-01T06:09:41Z</dcterms:created>
  <dcterms:modified xsi:type="dcterms:W3CDTF">2024-06-04T09:53:13Z</dcterms:modified>
</cp:coreProperties>
</file>