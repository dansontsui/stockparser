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nson_tsui\Documents\mystock\"/>
    </mc:Choice>
  </mc:AlternateContent>
  <bookViews>
    <workbookView xWindow="0" yWindow="0" windowWidth="28800" windowHeight="12285"/>
  </bookViews>
  <sheets>
    <sheet name="工作表1" sheetId="1" r:id="rId1"/>
    <sheet name="d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B21" i="1"/>
  <c r="B22" i="1"/>
  <c r="J21" i="1"/>
  <c r="M11" i="1" l="1"/>
  <c r="D12" i="2" l="1"/>
  <c r="D11" i="2"/>
  <c r="D10" i="2"/>
  <c r="D9" i="2"/>
  <c r="D8" i="2"/>
  <c r="D7" i="2"/>
  <c r="V15" i="2"/>
  <c r="O15" i="2"/>
  <c r="O20" i="2" s="1"/>
  <c r="O21" i="2" s="1"/>
  <c r="V14" i="2"/>
  <c r="O14" i="2"/>
  <c r="X12" i="2"/>
  <c r="Q12" i="2"/>
  <c r="D6" i="2"/>
  <c r="D5" i="2"/>
  <c r="D4" i="2"/>
  <c r="D3" i="2"/>
  <c r="Y12" i="2"/>
  <c r="D2" i="2"/>
  <c r="R12" i="2" s="1"/>
  <c r="G2" i="1"/>
  <c r="L19" i="1"/>
  <c r="J22" i="1"/>
  <c r="B27" i="1" s="1"/>
  <c r="M10" i="1" l="1"/>
  <c r="M3" i="1" l="1"/>
  <c r="M4" i="1"/>
  <c r="M5" i="1"/>
  <c r="M7" i="1"/>
  <c r="M2" i="1"/>
  <c r="M19" i="1" l="1"/>
  <c r="B28" i="1"/>
</calcChain>
</file>

<file path=xl/sharedStrings.xml><?xml version="1.0" encoding="utf-8"?>
<sst xmlns="http://schemas.openxmlformats.org/spreadsheetml/2006/main" count="43" uniqueCount="19">
  <si>
    <t>937B</t>
    <phoneticPr fontId="1" type="noConversion"/>
  </si>
  <si>
    <t>均價</t>
    <phoneticPr fontId="1" type="noConversion"/>
  </si>
  <si>
    <t>751B</t>
    <phoneticPr fontId="1" type="noConversion"/>
  </si>
  <si>
    <t>總額</t>
    <phoneticPr fontId="1" type="noConversion"/>
  </si>
  <si>
    <t>餘額</t>
    <phoneticPr fontId="1" type="noConversion"/>
  </si>
  <si>
    <t>代號</t>
    <phoneticPr fontId="1" type="noConversion"/>
  </si>
  <si>
    <t>金額</t>
    <phoneticPr fontId="1" type="noConversion"/>
  </si>
  <si>
    <t>張數</t>
    <phoneticPr fontId="1" type="noConversion"/>
  </si>
  <si>
    <t>總金額</t>
    <phoneticPr fontId="1" type="noConversion"/>
  </si>
  <si>
    <t>總金額</t>
    <phoneticPr fontId="1" type="noConversion"/>
  </si>
  <si>
    <t>張</t>
    <phoneticPr fontId="1" type="noConversion"/>
  </si>
  <si>
    <t>id</t>
    <phoneticPr fontId="1" type="noConversion"/>
  </si>
  <si>
    <t>amount</t>
    <phoneticPr fontId="1" type="noConversion"/>
  </si>
  <si>
    <t>count</t>
    <phoneticPr fontId="1" type="noConversion"/>
  </si>
  <si>
    <t>price</t>
    <phoneticPr fontId="1" type="noConversion"/>
  </si>
  <si>
    <t>data</t>
    <phoneticPr fontId="1" type="noConversion"/>
  </si>
  <si>
    <t>配息</t>
    <phoneticPr fontId="1" type="noConversion"/>
  </si>
  <si>
    <t>金額</t>
    <phoneticPr fontId="1" type="noConversion"/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</si>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</sst>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>
      <selection activeCell="E13" sqref="E13"/>
    </sheetView>
  </sheetViews>
  <sheetFormatPr defaultRowHeight="16.5" x14ac:dyDescent="0.25"/>
  <cols>
    <col min="4" max="4" width="10" customWidth="1"/>
    <col min="5" max="5" width="12.875" bestFit="1" customWidth="1"/>
    <col min="10" max="10" width="9.5" bestFit="1" customWidth="1"/>
  </cols>
  <sheetData>
    <row r="1" spans="1:15" x14ac:dyDescent="0.25">
      <c r="A1" t="s">
        <v>5</v>
      </c>
      <c r="B1" t="s">
        <v>6</v>
      </c>
      <c r="D1" t="s">
        <v>7</v>
      </c>
      <c r="E1" s="1"/>
      <c r="F1" t="s">
        <v>16</v>
      </c>
      <c r="G1" t="s">
        <v>17</v>
      </c>
      <c r="I1" t="s">
        <v>5</v>
      </c>
      <c r="J1" t="s">
        <v>6</v>
      </c>
      <c r="L1" t="s">
        <v>7</v>
      </c>
      <c r="N1" t="s">
        <v>16</v>
      </c>
      <c r="O1" t="s">
        <v>17</v>
      </c>
    </row>
    <row r="2" spans="1:15" x14ac:dyDescent="0.25">
      <c r="A2" t="s">
        <v>0</v>
      </c>
      <c r="B2">
        <v>797000</v>
      </c>
      <c r="D2">
        <v>50</v>
      </c>
      <c r="E2">
        <v>15.94</v>
      </c>
      <c r="F2">
        <v>8.4000000000000005E-2</v>
      </c>
      <c r="G2">
        <f>F2*D19*1000</f>
        <v>9156</v>
      </c>
      <c r="I2" t="s">
        <v>2</v>
      </c>
      <c r="J2">
        <v>352300</v>
      </c>
      <c r="L2">
        <v>10</v>
      </c>
      <c r="M2" s="1">
        <f>(J2/L2)/1000</f>
        <v>35.229999999999997</v>
      </c>
    </row>
    <row r="3" spans="1:15" x14ac:dyDescent="0.25">
      <c r="B3">
        <v>159700</v>
      </c>
      <c r="D3">
        <v>10</v>
      </c>
      <c r="E3">
        <v>15.97</v>
      </c>
      <c r="J3">
        <v>422882</v>
      </c>
      <c r="L3">
        <v>12</v>
      </c>
      <c r="M3" s="1">
        <f t="shared" ref="M3:M11" si="0">(J3/L3)/1000</f>
        <v>35.240166666666667</v>
      </c>
    </row>
    <row r="4" spans="1:15" x14ac:dyDescent="0.25">
      <c r="B4">
        <v>160100</v>
      </c>
      <c r="D4">
        <v>10</v>
      </c>
      <c r="E4">
        <v>16.010000000000002</v>
      </c>
      <c r="J4">
        <v>177000</v>
      </c>
      <c r="L4">
        <v>5</v>
      </c>
      <c r="M4" s="1">
        <f t="shared" si="0"/>
        <v>35.4</v>
      </c>
    </row>
    <row r="5" spans="1:15" x14ac:dyDescent="0.25">
      <c r="B5">
        <v>239850</v>
      </c>
      <c r="D5">
        <v>15</v>
      </c>
      <c r="E5">
        <v>15.99</v>
      </c>
      <c r="J5">
        <v>176900</v>
      </c>
      <c r="L5">
        <v>5</v>
      </c>
      <c r="M5" s="1">
        <f t="shared" si="0"/>
        <v>35.380000000000003</v>
      </c>
    </row>
    <row r="6" spans="1:15" x14ac:dyDescent="0.25">
      <c r="B6">
        <v>158500</v>
      </c>
      <c r="D6">
        <v>10</v>
      </c>
      <c r="E6">
        <v>15.85</v>
      </c>
      <c r="M6" s="1"/>
    </row>
    <row r="7" spans="1:15" x14ac:dyDescent="0.25">
      <c r="B7">
        <v>140580</v>
      </c>
      <c r="D7">
        <v>9</v>
      </c>
      <c r="E7">
        <v>15.62</v>
      </c>
      <c r="J7">
        <v>106020</v>
      </c>
      <c r="L7">
        <v>3</v>
      </c>
      <c r="M7" s="1">
        <f t="shared" si="0"/>
        <v>35.340000000000003</v>
      </c>
    </row>
    <row r="8" spans="1:15" x14ac:dyDescent="0.25">
      <c r="B8">
        <v>78050</v>
      </c>
      <c r="D8">
        <v>5</v>
      </c>
      <c r="E8">
        <v>15.61</v>
      </c>
      <c r="M8" s="1"/>
    </row>
    <row r="9" spans="1:15" x14ac:dyDescent="0.25">
      <c r="M9" s="1"/>
    </row>
    <row r="10" spans="1:15" x14ac:dyDescent="0.25">
      <c r="J10">
        <v>105810</v>
      </c>
      <c r="L10">
        <v>3</v>
      </c>
      <c r="M10" s="1">
        <f t="shared" si="0"/>
        <v>35.270000000000003</v>
      </c>
    </row>
    <row r="11" spans="1:15" x14ac:dyDescent="0.25">
      <c r="J11">
        <v>69180</v>
      </c>
      <c r="L11">
        <v>2</v>
      </c>
      <c r="M11" s="1">
        <f t="shared" si="0"/>
        <v>34.590000000000003</v>
      </c>
    </row>
    <row r="12" spans="1:15" x14ac:dyDescent="0.25">
      <c r="M12" s="1"/>
    </row>
    <row r="13" spans="1:15" x14ac:dyDescent="0.25">
      <c r="M13" s="1"/>
    </row>
    <row r="19" spans="1:13" x14ac:dyDescent="0.25">
      <c r="A19" t="s">
        <v>10</v>
      </c>
      <c r="D19">
        <f>SUM(D2:D18)</f>
        <v>109</v>
      </c>
      <c r="E19" s="1"/>
      <c r="L19">
        <f>SUM(L2:L13)</f>
        <v>40</v>
      </c>
      <c r="M19" s="1">
        <f>AVERAGE(M2:M13)</f>
        <v>35.207166666666673</v>
      </c>
    </row>
    <row r="20" spans="1:13" x14ac:dyDescent="0.25">
      <c r="B20" t="s">
        <v>18</v>
      </c>
    </row>
    <row r="21" spans="1:13" x14ac:dyDescent="0.25">
      <c r="A21" t="s">
        <v>1</v>
      </c>
      <c r="B21">
        <f>SUM(B2:B18)/SUM(D2:D18)/1000</f>
        <v>15.906238532110091</v>
      </c>
      <c r="I21" t="s">
        <v>1</v>
      </c>
      <c r="J21">
        <f>SUM(J2:J18)/SUM(L2:L18)/1000</f>
        <v>35.252300000000005</v>
      </c>
    </row>
    <row r="22" spans="1:13" x14ac:dyDescent="0.25">
      <c r="A22" t="s">
        <v>9</v>
      </c>
      <c r="B22">
        <f>SUM(B2:B18)</f>
        <v>1733780</v>
      </c>
      <c r="I22" t="s">
        <v>8</v>
      </c>
      <c r="J22">
        <f>SUM(J2:J13)</f>
        <v>1410092</v>
      </c>
    </row>
    <row r="27" spans="1:13" x14ac:dyDescent="0.25">
      <c r="A27" t="s">
        <v>3</v>
      </c>
      <c r="B27">
        <f>B22+J22</f>
        <v>3143872</v>
      </c>
    </row>
    <row r="28" spans="1:13" x14ac:dyDescent="0.25">
      <c r="A28" t="s">
        <v>4</v>
      </c>
      <c r="B28">
        <f>3000000-B27</f>
        <v>-143872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workbookViewId="0">
      <selection activeCell="E2" sqref="E2"/>
    </sheetView>
  </sheetViews>
  <sheetFormatPr defaultRowHeight="16.5" x14ac:dyDescent="0.25"/>
  <cols>
    <col min="4" max="4" width="10" customWidth="1"/>
    <col min="5" max="5" width="9.5" bestFit="1" customWidth="1"/>
    <col min="10" max="10" width="9.5" bestFit="1" customWidth="1"/>
  </cols>
  <sheetData>
    <row r="1" spans="1:25" x14ac:dyDescent="0.25">
      <c r="A1" t="s">
        <v>11</v>
      </c>
      <c r="B1" t="s">
        <v>12</v>
      </c>
      <c r="C1" t="s">
        <v>13</v>
      </c>
      <c r="D1" s="1" t="s">
        <v>14</v>
      </c>
      <c r="E1" t="s">
        <v>15</v>
      </c>
    </row>
    <row r="2" spans="1:25" x14ac:dyDescent="0.25">
      <c r="A2" t="s">
        <v>0</v>
      </c>
      <c r="B2">
        <v>318071</v>
      </c>
      <c r="C2">
        <v>20</v>
      </c>
      <c r="D2" s="1">
        <f t="shared" ref="D2:D12" si="0">(B2/C2)/1000</f>
        <v>15.903549999999999</v>
      </c>
      <c r="E2" s="2">
        <v>45323</v>
      </c>
      <c r="L2" s="1"/>
    </row>
    <row r="3" spans="1:25" x14ac:dyDescent="0.25">
      <c r="A3" t="s">
        <v>0</v>
      </c>
      <c r="B3">
        <v>477708</v>
      </c>
      <c r="C3">
        <v>30</v>
      </c>
      <c r="D3" s="1">
        <f t="shared" si="0"/>
        <v>15.9236</v>
      </c>
      <c r="E3" s="2">
        <v>45323</v>
      </c>
      <c r="L3" s="1"/>
    </row>
    <row r="4" spans="1:25" x14ac:dyDescent="0.25">
      <c r="A4" t="s">
        <v>0</v>
      </c>
      <c r="B4">
        <v>160236</v>
      </c>
      <c r="C4">
        <v>10</v>
      </c>
      <c r="D4" s="1">
        <f t="shared" si="0"/>
        <v>16.023600000000002</v>
      </c>
      <c r="E4" s="2">
        <v>45323</v>
      </c>
      <c r="L4" s="1"/>
    </row>
    <row r="5" spans="1:25" x14ac:dyDescent="0.25">
      <c r="A5" t="s">
        <v>0</v>
      </c>
      <c r="B5">
        <v>239850</v>
      </c>
      <c r="C5">
        <v>15</v>
      </c>
      <c r="D5" s="1">
        <f t="shared" si="0"/>
        <v>15.99</v>
      </c>
      <c r="E5" s="2">
        <v>45323</v>
      </c>
      <c r="L5" s="1"/>
    </row>
    <row r="6" spans="1:25" x14ac:dyDescent="0.25">
      <c r="A6" t="s">
        <v>0</v>
      </c>
      <c r="B6">
        <v>159700</v>
      </c>
      <c r="C6">
        <v>10</v>
      </c>
      <c r="D6" s="1">
        <f t="shared" si="0"/>
        <v>15.97</v>
      </c>
      <c r="E6" s="2">
        <v>45323</v>
      </c>
      <c r="L6" s="1"/>
    </row>
    <row r="7" spans="1:25" x14ac:dyDescent="0.25">
      <c r="A7" t="s">
        <v>2</v>
      </c>
      <c r="B7">
        <v>352300</v>
      </c>
      <c r="C7">
        <v>10</v>
      </c>
      <c r="D7" s="1">
        <f t="shared" si="0"/>
        <v>35.229999999999997</v>
      </c>
      <c r="E7" s="2">
        <v>45323</v>
      </c>
      <c r="L7" s="1"/>
    </row>
    <row r="8" spans="1:25" x14ac:dyDescent="0.25">
      <c r="A8" t="s">
        <v>2</v>
      </c>
      <c r="B8">
        <v>422882</v>
      </c>
      <c r="C8">
        <v>12</v>
      </c>
      <c r="D8" s="1">
        <f t="shared" si="0"/>
        <v>35.240166666666667</v>
      </c>
      <c r="E8" s="2">
        <v>45323</v>
      </c>
      <c r="L8" s="1"/>
    </row>
    <row r="9" spans="1:25" x14ac:dyDescent="0.25">
      <c r="A9" t="s">
        <v>2</v>
      </c>
      <c r="B9">
        <v>177000</v>
      </c>
      <c r="C9">
        <v>5</v>
      </c>
      <c r="D9" s="1">
        <f t="shared" si="0"/>
        <v>35.4</v>
      </c>
      <c r="E9" s="2">
        <v>45323</v>
      </c>
      <c r="L9" s="1"/>
    </row>
    <row r="10" spans="1:25" x14ac:dyDescent="0.25">
      <c r="A10" t="s">
        <v>2</v>
      </c>
      <c r="B10">
        <v>176900</v>
      </c>
      <c r="C10">
        <v>5</v>
      </c>
      <c r="D10" s="1">
        <f t="shared" si="0"/>
        <v>35.380000000000003</v>
      </c>
      <c r="E10" s="2">
        <v>45323</v>
      </c>
      <c r="L10" s="1"/>
    </row>
    <row r="11" spans="1:25" x14ac:dyDescent="0.25">
      <c r="A11" t="s">
        <v>2</v>
      </c>
      <c r="B11">
        <v>106020</v>
      </c>
      <c r="C11">
        <v>3</v>
      </c>
      <c r="D11" s="1">
        <f t="shared" si="0"/>
        <v>35.340000000000003</v>
      </c>
      <c r="E11" s="2">
        <v>45323</v>
      </c>
    </row>
    <row r="12" spans="1:25" x14ac:dyDescent="0.25">
      <c r="A12" t="s">
        <v>2</v>
      </c>
      <c r="B12">
        <v>105810</v>
      </c>
      <c r="C12">
        <v>3</v>
      </c>
      <c r="D12" s="1">
        <f t="shared" si="0"/>
        <v>35.270000000000003</v>
      </c>
      <c r="E12" s="2">
        <v>45323</v>
      </c>
      <c r="N12" t="s">
        <v>10</v>
      </c>
      <c r="Q12">
        <f>SUM(C2:C10)</f>
        <v>117</v>
      </c>
      <c r="R12" s="1">
        <f>AVERAGE(D2:D10)</f>
        <v>24.562324074074073</v>
      </c>
      <c r="X12">
        <f>SUM(K2:K10)</f>
        <v>0</v>
      </c>
      <c r="Y12" s="1" t="e">
        <f>AVERAGE(L2:L10)</f>
        <v>#DIV/0!</v>
      </c>
    </row>
    <row r="14" spans="1:25" x14ac:dyDescent="0.25">
      <c r="N14" t="s">
        <v>1</v>
      </c>
      <c r="O14">
        <f>SUM(B2:B10)/SUM(C2:C10)/1000</f>
        <v>21.236299145299146</v>
      </c>
      <c r="U14" t="s">
        <v>1</v>
      </c>
      <c r="V14" t="e">
        <f>SUM(I2:I10)/SUM(K2:K10)/1000</f>
        <v>#DIV/0!</v>
      </c>
    </row>
    <row r="15" spans="1:25" x14ac:dyDescent="0.25">
      <c r="N15" t="s">
        <v>8</v>
      </c>
      <c r="O15">
        <f>SUM(B2:B10)</f>
        <v>2484647</v>
      </c>
      <c r="U15" t="s">
        <v>8</v>
      </c>
      <c r="V15">
        <f>SUM(I2:I10)</f>
        <v>0</v>
      </c>
    </row>
    <row r="20" spans="14:15" x14ac:dyDescent="0.25">
      <c r="N20" t="s">
        <v>3</v>
      </c>
      <c r="O20">
        <f>O15+V15</f>
        <v>2484647</v>
      </c>
    </row>
    <row r="21" spans="14:15" x14ac:dyDescent="0.25">
      <c r="N21" t="s">
        <v>4</v>
      </c>
      <c r="O21">
        <f>3000000-O20</f>
        <v>515353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崔德昌</dc:creator>
  <cp:lastModifiedBy>崔德昌</cp:lastModifiedBy>
  <dcterms:created xsi:type="dcterms:W3CDTF">2024-02-01T00:20:49Z</dcterms:created>
  <dcterms:modified xsi:type="dcterms:W3CDTF">2024-03-07T06:27:32Z</dcterms:modified>
</cp:coreProperties>
</file>