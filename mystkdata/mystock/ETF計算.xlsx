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nson_tsui\Documents\"/>
    </mc:Choice>
  </mc:AlternateContent>
  <bookViews>
    <workbookView xWindow="0" yWindow="0" windowWidth="28800" windowHeight="1228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1" l="1"/>
  <c r="E9" i="1"/>
  <c r="D9" i="1"/>
  <c r="C9" i="1"/>
  <c r="B9" i="1"/>
  <c r="E7" i="1"/>
  <c r="B11" i="1" s="1"/>
  <c r="D7" i="1"/>
  <c r="C7" i="1"/>
  <c r="B7" i="1"/>
  <c r="E6" i="1"/>
  <c r="D6" i="1"/>
  <c r="C6" i="1"/>
  <c r="B6" i="1"/>
  <c r="E5" i="1"/>
  <c r="B10" i="1" s="1"/>
  <c r="D5" i="1"/>
  <c r="C5" i="1"/>
  <c r="B5" i="1"/>
  <c r="B12" i="1" l="1"/>
</calcChain>
</file>

<file path=xl/sharedStrings.xml><?xml version="1.0" encoding="utf-8"?>
<sst xmlns="http://schemas.openxmlformats.org/spreadsheetml/2006/main" count="21" uniqueCount="21">
  <si>
    <t>代號</t>
    <phoneticPr fontId="1" type="noConversion"/>
  </si>
  <si>
    <t>0056</t>
    <phoneticPr fontId="1" type="noConversion"/>
  </si>
  <si>
    <t>00878</t>
    <phoneticPr fontId="1" type="noConversion"/>
  </si>
  <si>
    <t>00713</t>
    <phoneticPr fontId="1" type="noConversion"/>
  </si>
  <si>
    <t>00919</t>
    <phoneticPr fontId="1" type="noConversion"/>
  </si>
  <si>
    <t>股利</t>
    <phoneticPr fontId="1" type="noConversion"/>
  </si>
  <si>
    <t>張</t>
    <phoneticPr fontId="1" type="noConversion"/>
  </si>
  <si>
    <t>季配金額</t>
    <phoneticPr fontId="1" type="noConversion"/>
  </si>
  <si>
    <t>月份</t>
    <phoneticPr fontId="1" type="noConversion"/>
  </si>
  <si>
    <t>1,4,1,10</t>
    <phoneticPr fontId="1" type="noConversion"/>
  </si>
  <si>
    <t>2,5,8,11</t>
    <phoneticPr fontId="1" type="noConversion"/>
  </si>
  <si>
    <t>3,6,9,12</t>
    <phoneticPr fontId="1" type="noConversion"/>
  </si>
  <si>
    <t>3,6,9,12</t>
    <phoneticPr fontId="1" type="noConversion"/>
  </si>
  <si>
    <t>持股比例</t>
    <phoneticPr fontId="1" type="noConversion"/>
  </si>
  <si>
    <t>換算年報酬率</t>
    <phoneticPr fontId="1" type="noConversion"/>
  </si>
  <si>
    <t>總張</t>
    <phoneticPr fontId="1" type="noConversion"/>
  </si>
  <si>
    <t>金額 萬</t>
    <phoneticPr fontId="1" type="noConversion"/>
  </si>
  <si>
    <t>總額 萬</t>
    <phoneticPr fontId="1" type="noConversion"/>
  </si>
  <si>
    <t>季領總額 元</t>
    <phoneticPr fontId="1" type="noConversion"/>
  </si>
  <si>
    <t>股價</t>
    <phoneticPr fontId="1" type="noConversion"/>
  </si>
  <si>
    <t>&lt;&lt;自己調整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</si>
</sst>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rgb="FF040C28"/>
      <name val="細明體_HKSCS"/>
      <family val="1"/>
      <charset val="136"/>
    </font>
    <font>
      <sz val="12"/>
      <color theme="1"/>
      <name val="細明體_HKSCS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1" xfId="0" applyBorder="1">
      <alignment vertical="center"/>
    </xf>
    <xf numFmtId="49" fontId="0" fillId="0" borderId="1" xfId="0" applyNumberForma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0" borderId="4" xfId="0" applyFill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8" xfId="0" applyBorder="1">
      <alignment vertical="center"/>
    </xf>
    <xf numFmtId="0" fontId="0" fillId="0" borderId="0" xfId="0" applyBorder="1">
      <alignment vertical="center"/>
    </xf>
    <xf numFmtId="49" fontId="0" fillId="0" borderId="0" xfId="0" applyNumberFormat="1" applyBorder="1" applyAlignment="1">
      <alignment horizontal="center" vertical="center"/>
    </xf>
    <xf numFmtId="0" fontId="0" fillId="0" borderId="0" xfId="0" applyFill="1" applyBorder="1">
      <alignment vertical="center"/>
    </xf>
    <xf numFmtId="49" fontId="0" fillId="0" borderId="0" xfId="0" applyNumberFormat="1" applyFill="1" applyBorder="1" applyAlignment="1">
      <alignment horizontal="center" vertical="center"/>
    </xf>
    <xf numFmtId="0" fontId="2" fillId="0" borderId="0" xfId="0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0" fillId="0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Views>
    <sheetView tabSelected="1" workbookViewId="0">
      <selection activeCell="G6" sqref="G6"/>
    </sheetView>
  </sheetViews>
  <sheetFormatPr defaultRowHeight="16.5" x14ac:dyDescent="0.25"/>
  <cols>
    <col min="1" max="1" width="13.875" bestFit="1" customWidth="1"/>
    <col min="6" max="6" width="11.625" bestFit="1" customWidth="1"/>
    <col min="7" max="7" width="9.5" bestFit="1" customWidth="1"/>
  </cols>
  <sheetData>
    <row r="1" spans="1:1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K1" s="16"/>
      <c r="L1" s="16"/>
      <c r="M1" s="16"/>
      <c r="N1" s="16"/>
      <c r="O1" s="15"/>
    </row>
    <row r="2" spans="1:15" x14ac:dyDescent="0.25">
      <c r="A2" s="1" t="s">
        <v>19</v>
      </c>
      <c r="B2" s="1">
        <v>36.299999999999997</v>
      </c>
      <c r="C2" s="1">
        <v>21.71</v>
      </c>
      <c r="D2" s="1">
        <v>51.15</v>
      </c>
      <c r="E2" s="1">
        <v>22.23</v>
      </c>
      <c r="K2" s="15"/>
      <c r="L2" s="15"/>
      <c r="M2" s="15"/>
      <c r="N2" s="15"/>
      <c r="O2" s="15"/>
    </row>
    <row r="3" spans="1:15" x14ac:dyDescent="0.25">
      <c r="A3" s="1" t="s">
        <v>5</v>
      </c>
      <c r="B3" s="1">
        <v>0.7</v>
      </c>
      <c r="C3" s="1">
        <v>0.4</v>
      </c>
      <c r="D3" s="1">
        <v>0.84</v>
      </c>
      <c r="E3" s="1">
        <v>0.55000000000000004</v>
      </c>
      <c r="K3" s="15"/>
      <c r="L3" s="15"/>
      <c r="M3" s="15"/>
      <c r="N3" s="15"/>
      <c r="O3" s="15"/>
    </row>
    <row r="4" spans="1:15" x14ac:dyDescent="0.25">
      <c r="A4" s="1" t="s">
        <v>6</v>
      </c>
      <c r="B4" s="1">
        <v>16</v>
      </c>
      <c r="C4" s="1">
        <v>28</v>
      </c>
      <c r="D4" s="1">
        <v>0</v>
      </c>
      <c r="E4" s="1">
        <v>20</v>
      </c>
      <c r="F4" t="s">
        <v>20</v>
      </c>
      <c r="K4" s="15"/>
      <c r="L4" s="15"/>
      <c r="M4" s="15"/>
      <c r="N4" s="15"/>
      <c r="O4" s="15"/>
    </row>
    <row r="5" spans="1:15" x14ac:dyDescent="0.25">
      <c r="A5" s="1" t="s">
        <v>16</v>
      </c>
      <c r="B5" s="1">
        <f>(B4*B2)/10</f>
        <v>58.08</v>
      </c>
      <c r="C5" s="1">
        <f t="shared" ref="C5:E5" si="0">(C4*C2)/10</f>
        <v>60.787999999999997</v>
      </c>
      <c r="D5" s="1">
        <f t="shared" si="0"/>
        <v>0</v>
      </c>
      <c r="E5" s="1">
        <f t="shared" si="0"/>
        <v>44.46</v>
      </c>
      <c r="K5" s="15"/>
      <c r="L5" s="15"/>
      <c r="M5" s="15"/>
      <c r="N5" s="15"/>
      <c r="O5" s="15"/>
    </row>
    <row r="6" spans="1:15" x14ac:dyDescent="0.25">
      <c r="A6" s="1"/>
      <c r="B6" s="1">
        <f>B3*4/B2</f>
        <v>7.7134986225895319E-2</v>
      </c>
      <c r="C6" s="1">
        <f t="shared" ref="C6:E6" si="1">C3*4/C2</f>
        <v>7.3698756333486867E-2</v>
      </c>
      <c r="D6" s="1">
        <f t="shared" si="1"/>
        <v>6.5689149560117302E-2</v>
      </c>
      <c r="E6" s="1">
        <f t="shared" si="1"/>
        <v>9.8965362123256864E-2</v>
      </c>
      <c r="K6" s="15"/>
      <c r="L6" s="15"/>
      <c r="M6" s="15"/>
      <c r="N6" s="15"/>
      <c r="O6" s="15"/>
    </row>
    <row r="7" spans="1:15" x14ac:dyDescent="0.25">
      <c r="A7" s="1" t="s">
        <v>7</v>
      </c>
      <c r="B7" s="1">
        <f>B4*1000*B3</f>
        <v>11200</v>
      </c>
      <c r="C7" s="1">
        <f>C4*1000*C3</f>
        <v>11200</v>
      </c>
      <c r="D7" s="1">
        <f t="shared" ref="D7:E7" si="2">D4*1000*D3</f>
        <v>0</v>
      </c>
      <c r="E7" s="1">
        <f t="shared" si="2"/>
        <v>11000</v>
      </c>
      <c r="J7" s="21"/>
      <c r="K7" s="17"/>
      <c r="L7" s="17"/>
      <c r="M7" s="17"/>
      <c r="N7" s="15"/>
      <c r="O7" s="15"/>
    </row>
    <row r="8" spans="1:15" x14ac:dyDescent="0.25">
      <c r="A8" s="1" t="s">
        <v>8</v>
      </c>
      <c r="B8" s="3" t="s">
        <v>9</v>
      </c>
      <c r="C8" s="4" t="s">
        <v>10</v>
      </c>
      <c r="D8" s="1" t="s">
        <v>11</v>
      </c>
      <c r="E8" s="1" t="s">
        <v>12</v>
      </c>
      <c r="J8" s="21"/>
      <c r="K8" s="17"/>
      <c r="L8" s="17"/>
      <c r="M8" s="17"/>
      <c r="N8" s="15"/>
      <c r="O8" s="15"/>
    </row>
    <row r="9" spans="1:15" ht="17.25" thickBot="1" x14ac:dyDescent="0.3">
      <c r="A9" s="7" t="s">
        <v>13</v>
      </c>
      <c r="B9" s="8">
        <f>B4/B13</f>
        <v>0.25</v>
      </c>
      <c r="C9" s="1">
        <f>C4/B13</f>
        <v>0.4375</v>
      </c>
      <c r="D9" s="1">
        <f>D4/B13</f>
        <v>0</v>
      </c>
      <c r="E9" s="1">
        <f>E4/B13</f>
        <v>0.3125</v>
      </c>
      <c r="J9" s="21"/>
      <c r="K9" s="17"/>
      <c r="L9" s="17"/>
      <c r="M9" s="17"/>
      <c r="N9" s="15"/>
      <c r="O9" s="15"/>
    </row>
    <row r="10" spans="1:15" x14ac:dyDescent="0.25">
      <c r="A10" s="5" t="s">
        <v>17</v>
      </c>
      <c r="B10" s="6">
        <f>E5+D5+C5+B5</f>
        <v>163.32799999999997</v>
      </c>
      <c r="J10" s="21"/>
      <c r="K10" s="17"/>
      <c r="L10" s="17"/>
      <c r="M10" s="17"/>
      <c r="N10" s="15"/>
      <c r="O10" s="15"/>
    </row>
    <row r="11" spans="1:15" x14ac:dyDescent="0.25">
      <c r="A11" s="9" t="s">
        <v>18</v>
      </c>
      <c r="B11" s="10">
        <f>E7+D7+C7+B7</f>
        <v>33400</v>
      </c>
      <c r="J11" s="21"/>
      <c r="K11" s="17"/>
      <c r="L11" s="17"/>
      <c r="M11" s="17"/>
      <c r="N11" s="15"/>
      <c r="O11" s="15"/>
    </row>
    <row r="12" spans="1:15" x14ac:dyDescent="0.25">
      <c r="A12" s="11" t="s">
        <v>14</v>
      </c>
      <c r="B12" s="12">
        <f>(B11*4)/(B10*10000)</f>
        <v>8.1798589341692804E-2</v>
      </c>
      <c r="J12" s="21"/>
      <c r="K12" s="17"/>
      <c r="L12" s="17"/>
      <c r="M12" s="17"/>
      <c r="N12" s="15"/>
      <c r="O12" s="15"/>
    </row>
    <row r="13" spans="1:15" ht="17.25" thickBot="1" x14ac:dyDescent="0.3">
      <c r="A13" s="13" t="s">
        <v>15</v>
      </c>
      <c r="B13" s="14">
        <f>SUM(B4:E4)</f>
        <v>64</v>
      </c>
      <c r="K13" s="15"/>
      <c r="L13" s="15"/>
      <c r="M13" s="15"/>
      <c r="N13" s="15"/>
      <c r="O13" s="15"/>
    </row>
    <row r="15" spans="1:15" x14ac:dyDescent="0.25">
      <c r="B15" s="15"/>
      <c r="C15" s="15"/>
      <c r="D15" s="15"/>
      <c r="E15" s="15"/>
    </row>
    <row r="16" spans="1:15" x14ac:dyDescent="0.25">
      <c r="B16" s="15"/>
      <c r="C16" s="15"/>
      <c r="D16" s="15"/>
      <c r="E16" s="15"/>
    </row>
    <row r="17" spans="1:5" x14ac:dyDescent="0.25">
      <c r="B17" s="15"/>
      <c r="C17" s="15"/>
      <c r="D17" s="15"/>
      <c r="E17" s="15"/>
    </row>
    <row r="20" spans="1:5" x14ac:dyDescent="0.25">
      <c r="A20" s="17"/>
      <c r="B20" s="17"/>
      <c r="C20" s="17"/>
      <c r="D20" s="17"/>
      <c r="E20" s="17"/>
    </row>
    <row r="21" spans="1:5" x14ac:dyDescent="0.25">
      <c r="A21" s="17"/>
      <c r="B21" s="18"/>
      <c r="C21" s="18"/>
      <c r="D21" s="18"/>
      <c r="E21" s="18"/>
    </row>
    <row r="22" spans="1:5" x14ac:dyDescent="0.25">
      <c r="A22" s="17"/>
      <c r="B22" s="17"/>
      <c r="C22" s="17"/>
      <c r="D22" s="17"/>
      <c r="E22" s="17"/>
    </row>
    <row r="23" spans="1:5" x14ac:dyDescent="0.25">
      <c r="A23" s="17"/>
      <c r="B23" s="17"/>
      <c r="C23" s="17"/>
      <c r="D23" s="17"/>
      <c r="E23" s="17"/>
    </row>
    <row r="24" spans="1:5" x14ac:dyDescent="0.25">
      <c r="A24" s="17"/>
      <c r="B24" s="17"/>
      <c r="C24" s="17"/>
      <c r="D24" s="17"/>
      <c r="E24" s="17"/>
    </row>
    <row r="25" spans="1:5" x14ac:dyDescent="0.25">
      <c r="A25" s="17"/>
      <c r="B25" s="17"/>
      <c r="C25" s="17"/>
      <c r="D25" s="17"/>
      <c r="E25" s="17"/>
    </row>
    <row r="26" spans="1:5" x14ac:dyDescent="0.25">
      <c r="A26" s="17"/>
      <c r="B26" s="17"/>
      <c r="C26" s="17"/>
      <c r="D26" s="17"/>
      <c r="E26" s="17"/>
    </row>
    <row r="27" spans="1:5" x14ac:dyDescent="0.25">
      <c r="A27" s="17"/>
      <c r="B27" s="17"/>
      <c r="C27" s="17"/>
      <c r="D27" s="17"/>
      <c r="E27" s="17"/>
    </row>
    <row r="28" spans="1:5" x14ac:dyDescent="0.25">
      <c r="A28" s="17"/>
      <c r="B28" s="19"/>
      <c r="C28" s="20"/>
      <c r="D28" s="17"/>
      <c r="E28" s="17"/>
    </row>
    <row r="29" spans="1:5" x14ac:dyDescent="0.25">
      <c r="A29" s="17"/>
      <c r="B29" s="17"/>
      <c r="C29" s="17"/>
      <c r="D29" s="17"/>
      <c r="E29" s="17"/>
    </row>
    <row r="30" spans="1:5" x14ac:dyDescent="0.25">
      <c r="A30" s="17"/>
      <c r="B30" s="17"/>
      <c r="C30" s="17"/>
      <c r="D30" s="17"/>
      <c r="E30" s="17"/>
    </row>
    <row r="31" spans="1:5" x14ac:dyDescent="0.25">
      <c r="A31" s="17"/>
      <c r="B31" s="17"/>
      <c r="C31" s="17"/>
      <c r="D31" s="17"/>
      <c r="E31" s="17"/>
    </row>
    <row r="32" spans="1:5" x14ac:dyDescent="0.25">
      <c r="A32" s="17"/>
      <c r="B32" s="17"/>
      <c r="C32" s="17"/>
      <c r="D32" s="17"/>
      <c r="E32" s="17"/>
    </row>
    <row r="33" spans="1:5" x14ac:dyDescent="0.25">
      <c r="A33" s="17"/>
      <c r="B33" s="17"/>
      <c r="C33" s="17"/>
      <c r="D33" s="17"/>
      <c r="E33" s="17"/>
    </row>
    <row r="34" spans="1:5" x14ac:dyDescent="0.25">
      <c r="A34" s="17"/>
      <c r="B34" s="17"/>
      <c r="C34" s="17"/>
      <c r="D34" s="17"/>
      <c r="E34" s="17"/>
    </row>
    <row r="35" spans="1:5" x14ac:dyDescent="0.25">
      <c r="A35" s="17"/>
      <c r="B35" s="17"/>
      <c r="C35" s="17"/>
      <c r="D35" s="17"/>
      <c r="E35" s="17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崔德昌</dc:creator>
  <cp:lastModifiedBy>崔德昌</cp:lastModifiedBy>
  <dcterms:created xsi:type="dcterms:W3CDTF">2024-02-01T09:46:51Z</dcterms:created>
  <dcterms:modified xsi:type="dcterms:W3CDTF">2024-02-01T09:49:54Z</dcterms:modified>
</cp:coreProperties>
</file>