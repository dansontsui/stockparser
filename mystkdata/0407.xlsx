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git\stockparser\mystkdata\"/>
    </mc:Choice>
  </mc:AlternateContent>
  <bookViews>
    <workbookView xWindow="0" yWindow="0" windowWidth="21525" windowHeight="10935"/>
  </bookViews>
  <sheets>
    <sheet name="工作表2" sheetId="2" r:id="rId1"/>
  </sheets>
  <definedNames>
    <definedName name="_xlnm._FilterDatabase" localSheetId="0" hidden="1">工作表2!$A$1:$V$15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2" l="1"/>
  <c r="G19" i="2" s="1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F11" i="2"/>
</calcChain>
</file>

<file path=xl/sharedStrings.xml><?xml version="1.0" encoding="utf-8"?>
<sst xmlns="http://schemas.openxmlformats.org/spreadsheetml/2006/main" count="123" uniqueCount="36">
  <si>
    <t>交易帳號</t>
  </si>
  <si>
    <t>成交日期</t>
  </si>
  <si>
    <t>種類</t>
  </si>
  <si>
    <t>代號</t>
  </si>
  <si>
    <t>商品名稱</t>
  </si>
  <si>
    <t>數量</t>
  </si>
  <si>
    <t>成交價</t>
  </si>
  <si>
    <t>成交價金</t>
  </si>
  <si>
    <t>手續費</t>
  </si>
  <si>
    <t>交易稅</t>
  </si>
  <si>
    <t>證所稅</t>
  </si>
  <si>
    <t>融資金額/券擔保品</t>
  </si>
  <si>
    <t>資自備款/券保證金</t>
  </si>
  <si>
    <t>利息</t>
  </si>
  <si>
    <t>借券費</t>
  </si>
  <si>
    <t>客戶淨收付</t>
  </si>
  <si>
    <t>損益</t>
  </si>
  <si>
    <t>報酬率(%)</t>
  </si>
  <si>
    <t>持有成本</t>
  </si>
  <si>
    <t>交割日期</t>
  </si>
  <si>
    <t>二代健保</t>
  </si>
  <si>
    <t>幣別</t>
  </si>
  <si>
    <t>9859-0115600</t>
  </si>
  <si>
    <t>盤中零股買進</t>
  </si>
  <si>
    <t>00631L</t>
  </si>
  <si>
    <t>元大台灣50正2</t>
  </si>
  <si>
    <t>-</t>
  </si>
  <si>
    <t>台幣</t>
  </si>
  <si>
    <t>普通買進</t>
  </si>
  <si>
    <t>國泰永續高股息</t>
  </si>
  <si>
    <t>00937B</t>
  </si>
  <si>
    <t>群益ESG投等債20+</t>
  </si>
  <si>
    <t>盤中零股賣出</t>
  </si>
  <si>
    <t>台幣小計</t>
  </si>
  <si>
    <t>00878X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</si>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</sst>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0"/>
  <sheetViews>
    <sheetView tabSelected="1" workbookViewId="0">
      <selection activeCell="E23" sqref="E23"/>
    </sheetView>
  </sheetViews>
  <sheetFormatPr defaultRowHeight="16.5" x14ac:dyDescent="0.25"/>
  <cols>
    <col min="1" max="1" width="13.5" bestFit="1" customWidth="1"/>
    <col min="2" max="2" width="9.5" bestFit="1" customWidth="1"/>
    <col min="3" max="3" width="13.875" bestFit="1" customWidth="1"/>
    <col min="4" max="4" width="7.75" bestFit="1" customWidth="1"/>
    <col min="5" max="5" width="18.875" bestFit="1" customWidth="1"/>
    <col min="6" max="6" width="7" bestFit="1" customWidth="1"/>
    <col min="7" max="7" width="7.5" bestFit="1" customWidth="1"/>
    <col min="8" max="8" width="9.5" bestFit="1" customWidth="1"/>
    <col min="9" max="11" width="7.5" bestFit="1" customWidth="1"/>
    <col min="12" max="13" width="18.875" bestFit="1" customWidth="1"/>
    <col min="14" max="14" width="5.5" bestFit="1" customWidth="1"/>
    <col min="15" max="15" width="10" customWidth="1"/>
    <col min="16" max="16" width="11.625" bestFit="1" customWidth="1"/>
    <col min="17" max="17" width="7.125" bestFit="1" customWidth="1"/>
    <col min="18" max="18" width="10.375" bestFit="1" customWidth="1"/>
    <col min="19" max="19" width="14.375" customWidth="1"/>
    <col min="20" max="21" width="9.5" bestFit="1" customWidth="1"/>
    <col min="22" max="22" width="5.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25">
      <c r="A2" t="s">
        <v>22</v>
      </c>
      <c r="B2" s="1">
        <v>45754</v>
      </c>
      <c r="C2" t="s">
        <v>23</v>
      </c>
      <c r="D2" t="s">
        <v>24</v>
      </c>
      <c r="E2" t="s">
        <v>25</v>
      </c>
      <c r="F2">
        <v>100</v>
      </c>
      <c r="G2">
        <v>160.25</v>
      </c>
      <c r="H2">
        <v>16025</v>
      </c>
      <c r="I2">
        <v>13</v>
      </c>
      <c r="J2">
        <v>0</v>
      </c>
      <c r="K2">
        <v>0</v>
      </c>
      <c r="L2" t="s">
        <v>26</v>
      </c>
      <c r="M2" t="s">
        <v>26</v>
      </c>
      <c r="N2" t="s">
        <v>26</v>
      </c>
      <c r="O2" t="s">
        <v>26</v>
      </c>
      <c r="P2">
        <v>-16038</v>
      </c>
      <c r="Q2" t="s">
        <v>26</v>
      </c>
      <c r="R2" t="s">
        <v>26</v>
      </c>
      <c r="S2">
        <v>16038</v>
      </c>
      <c r="T2" s="1">
        <v>45756</v>
      </c>
      <c r="U2">
        <v>0</v>
      </c>
      <c r="V2" t="s">
        <v>27</v>
      </c>
    </row>
    <row r="3" spans="1:22" hidden="1" x14ac:dyDescent="0.25">
      <c r="A3" t="s">
        <v>22</v>
      </c>
      <c r="B3" s="1">
        <v>45754</v>
      </c>
      <c r="C3" t="s">
        <v>28</v>
      </c>
      <c r="D3">
        <v>878</v>
      </c>
      <c r="E3" t="s">
        <v>29</v>
      </c>
      <c r="F3">
        <v>4000</v>
      </c>
      <c r="G3">
        <v>19.149999999999999</v>
      </c>
      <c r="H3">
        <v>76600</v>
      </c>
      <c r="I3">
        <v>65</v>
      </c>
      <c r="J3">
        <v>0</v>
      </c>
      <c r="K3">
        <v>0</v>
      </c>
      <c r="L3" t="s">
        <v>26</v>
      </c>
      <c r="M3" t="s">
        <v>26</v>
      </c>
      <c r="N3" t="s">
        <v>26</v>
      </c>
      <c r="O3" t="s">
        <v>26</v>
      </c>
      <c r="P3">
        <v>-76665</v>
      </c>
      <c r="Q3" t="s">
        <v>26</v>
      </c>
      <c r="R3" t="s">
        <v>26</v>
      </c>
      <c r="S3">
        <v>76665</v>
      </c>
      <c r="T3" s="1">
        <v>45756</v>
      </c>
      <c r="U3">
        <v>0</v>
      </c>
      <c r="V3" t="s">
        <v>27</v>
      </c>
    </row>
    <row r="4" spans="1:22" x14ac:dyDescent="0.25">
      <c r="A4" t="s">
        <v>22</v>
      </c>
      <c r="B4" s="1">
        <v>45754</v>
      </c>
      <c r="C4" t="s">
        <v>28</v>
      </c>
      <c r="D4" t="s">
        <v>30</v>
      </c>
      <c r="E4" t="s">
        <v>31</v>
      </c>
      <c r="F4">
        <v>3000</v>
      </c>
      <c r="G4">
        <v>15.67</v>
      </c>
      <c r="H4">
        <v>47010</v>
      </c>
      <c r="I4">
        <v>40</v>
      </c>
      <c r="J4">
        <v>0</v>
      </c>
      <c r="K4">
        <v>0</v>
      </c>
      <c r="L4" t="s">
        <v>26</v>
      </c>
      <c r="M4" t="s">
        <v>26</v>
      </c>
      <c r="N4" t="s">
        <v>26</v>
      </c>
      <c r="O4" t="s">
        <v>26</v>
      </c>
      <c r="P4">
        <v>-47050</v>
      </c>
      <c r="Q4" t="s">
        <v>26</v>
      </c>
      <c r="R4" t="s">
        <v>26</v>
      </c>
      <c r="S4">
        <v>47050</v>
      </c>
      <c r="T4" s="1">
        <v>45756</v>
      </c>
      <c r="U4">
        <v>0</v>
      </c>
      <c r="V4" t="s">
        <v>27</v>
      </c>
    </row>
    <row r="5" spans="1:22" hidden="1" x14ac:dyDescent="0.25">
      <c r="A5" t="s">
        <v>22</v>
      </c>
      <c r="B5" s="1">
        <v>45755</v>
      </c>
      <c r="C5" t="s">
        <v>23</v>
      </c>
      <c r="D5" t="s">
        <v>24</v>
      </c>
      <c r="E5" t="s">
        <v>25</v>
      </c>
      <c r="F5">
        <v>300</v>
      </c>
      <c r="G5">
        <v>151</v>
      </c>
      <c r="H5">
        <v>45300</v>
      </c>
      <c r="I5">
        <v>38</v>
      </c>
      <c r="J5">
        <v>0</v>
      </c>
      <c r="K5">
        <v>0</v>
      </c>
      <c r="L5" t="s">
        <v>26</v>
      </c>
      <c r="M5" t="s">
        <v>26</v>
      </c>
      <c r="N5" t="s">
        <v>26</v>
      </c>
      <c r="O5" t="s">
        <v>26</v>
      </c>
      <c r="P5">
        <v>-45338</v>
      </c>
      <c r="Q5" t="s">
        <v>26</v>
      </c>
      <c r="R5" t="s">
        <v>26</v>
      </c>
      <c r="S5">
        <v>45338</v>
      </c>
      <c r="T5" s="1">
        <v>45757</v>
      </c>
      <c r="U5">
        <v>0</v>
      </c>
      <c r="V5" t="s">
        <v>27</v>
      </c>
    </row>
    <row r="6" spans="1:22" hidden="1" x14ac:dyDescent="0.25">
      <c r="A6" t="s">
        <v>22</v>
      </c>
      <c r="B6" s="1">
        <v>45755</v>
      </c>
      <c r="C6" t="s">
        <v>23</v>
      </c>
      <c r="D6" t="s">
        <v>24</v>
      </c>
      <c r="E6" t="s">
        <v>25</v>
      </c>
      <c r="F6">
        <v>100</v>
      </c>
      <c r="G6">
        <v>142.05000000000001</v>
      </c>
      <c r="H6">
        <v>14205</v>
      </c>
      <c r="I6">
        <v>12</v>
      </c>
      <c r="J6">
        <v>0</v>
      </c>
      <c r="K6">
        <v>0</v>
      </c>
      <c r="L6" t="s">
        <v>26</v>
      </c>
      <c r="M6" t="s">
        <v>26</v>
      </c>
      <c r="N6" t="s">
        <v>26</v>
      </c>
      <c r="O6" t="s">
        <v>26</v>
      </c>
      <c r="P6">
        <v>-14217</v>
      </c>
      <c r="Q6" t="s">
        <v>26</v>
      </c>
      <c r="R6" t="s">
        <v>26</v>
      </c>
      <c r="S6">
        <v>14217</v>
      </c>
      <c r="T6" s="1">
        <v>45757</v>
      </c>
      <c r="U6">
        <v>0</v>
      </c>
      <c r="V6" t="s">
        <v>27</v>
      </c>
    </row>
    <row r="7" spans="1:22" hidden="1" x14ac:dyDescent="0.25">
      <c r="A7" t="s">
        <v>22</v>
      </c>
      <c r="B7" s="1">
        <v>45755</v>
      </c>
      <c r="C7" t="s">
        <v>28</v>
      </c>
      <c r="D7">
        <v>878</v>
      </c>
      <c r="E7" t="s">
        <v>29</v>
      </c>
      <c r="F7">
        <v>3000</v>
      </c>
      <c r="G7">
        <v>18.66</v>
      </c>
      <c r="H7">
        <v>55980</v>
      </c>
      <c r="I7">
        <v>47</v>
      </c>
      <c r="J7">
        <v>0</v>
      </c>
      <c r="K7">
        <v>0</v>
      </c>
      <c r="L7" t="s">
        <v>26</v>
      </c>
      <c r="M7" t="s">
        <v>26</v>
      </c>
      <c r="N7" t="s">
        <v>26</v>
      </c>
      <c r="O7" t="s">
        <v>26</v>
      </c>
      <c r="P7">
        <v>-56027</v>
      </c>
      <c r="Q7" t="s">
        <v>26</v>
      </c>
      <c r="R7" t="s">
        <v>26</v>
      </c>
      <c r="S7">
        <v>56027</v>
      </c>
      <c r="T7" s="1">
        <v>45757</v>
      </c>
      <c r="U7">
        <v>0</v>
      </c>
      <c r="V7" t="s">
        <v>27</v>
      </c>
    </row>
    <row r="8" spans="1:22" x14ac:dyDescent="0.25">
      <c r="A8" t="s">
        <v>22</v>
      </c>
      <c r="B8" s="1">
        <v>45755</v>
      </c>
      <c r="C8" t="s">
        <v>28</v>
      </c>
      <c r="D8" t="s">
        <v>30</v>
      </c>
      <c r="E8" t="s">
        <v>31</v>
      </c>
      <c r="F8">
        <v>3000</v>
      </c>
      <c r="G8">
        <v>15.39</v>
      </c>
      <c r="H8">
        <v>46170</v>
      </c>
      <c r="I8">
        <v>39</v>
      </c>
      <c r="J8">
        <v>0</v>
      </c>
      <c r="K8">
        <v>0</v>
      </c>
      <c r="L8" t="s">
        <v>26</v>
      </c>
      <c r="M8" t="s">
        <v>26</v>
      </c>
      <c r="N8" t="s">
        <v>26</v>
      </c>
      <c r="O8" t="s">
        <v>26</v>
      </c>
      <c r="P8">
        <v>-46209</v>
      </c>
      <c r="Q8" t="s">
        <v>26</v>
      </c>
      <c r="R8" t="s">
        <v>26</v>
      </c>
      <c r="S8">
        <v>46209</v>
      </c>
      <c r="T8" s="1">
        <v>45757</v>
      </c>
      <c r="U8">
        <v>0</v>
      </c>
      <c r="V8" t="s">
        <v>27</v>
      </c>
    </row>
    <row r="9" spans="1:22" x14ac:dyDescent="0.25">
      <c r="A9" t="s">
        <v>22</v>
      </c>
      <c r="B9" s="1">
        <v>45756</v>
      </c>
      <c r="C9" t="s">
        <v>28</v>
      </c>
      <c r="D9" t="s">
        <v>30</v>
      </c>
      <c r="E9" t="s">
        <v>31</v>
      </c>
      <c r="F9">
        <v>20000</v>
      </c>
      <c r="G9">
        <v>14.77</v>
      </c>
      <c r="H9">
        <v>295400</v>
      </c>
      <c r="I9">
        <v>252</v>
      </c>
      <c r="J9">
        <v>0</v>
      </c>
      <c r="K9">
        <v>0</v>
      </c>
      <c r="L9" t="s">
        <v>26</v>
      </c>
      <c r="M9" t="s">
        <v>26</v>
      </c>
      <c r="N9" t="s">
        <v>26</v>
      </c>
      <c r="O9" t="s">
        <v>26</v>
      </c>
      <c r="P9">
        <v>-295652</v>
      </c>
      <c r="Q9" t="s">
        <v>26</v>
      </c>
      <c r="R9" t="s">
        <v>26</v>
      </c>
      <c r="S9">
        <v>295652</v>
      </c>
      <c r="T9" s="1">
        <v>45758</v>
      </c>
      <c r="U9">
        <v>0</v>
      </c>
      <c r="V9" t="s">
        <v>27</v>
      </c>
    </row>
    <row r="10" spans="1:22" ht="15.75" hidden="1" customHeight="1" x14ac:dyDescent="0.25">
      <c r="A10" t="s">
        <v>22</v>
      </c>
      <c r="B10" s="1">
        <v>45758</v>
      </c>
      <c r="C10" t="s">
        <v>32</v>
      </c>
      <c r="D10" t="s">
        <v>24</v>
      </c>
      <c r="E10" t="s">
        <v>25</v>
      </c>
      <c r="F10">
        <v>500</v>
      </c>
      <c r="G10">
        <v>155.80000000000001</v>
      </c>
      <c r="H10">
        <v>77900</v>
      </c>
      <c r="I10">
        <v>66</v>
      </c>
      <c r="J10">
        <v>77</v>
      </c>
      <c r="K10">
        <v>0</v>
      </c>
      <c r="L10" t="s">
        <v>26</v>
      </c>
      <c r="M10" t="s">
        <v>26</v>
      </c>
      <c r="N10" t="s">
        <v>26</v>
      </c>
      <c r="O10" t="s">
        <v>26</v>
      </c>
      <c r="P10">
        <v>77757</v>
      </c>
      <c r="Q10">
        <v>2164</v>
      </c>
      <c r="R10" s="2">
        <v>2.86E-2</v>
      </c>
      <c r="S10">
        <v>75593</v>
      </c>
      <c r="T10" s="1">
        <v>45762</v>
      </c>
      <c r="U10">
        <v>0</v>
      </c>
      <c r="V10" t="s">
        <v>27</v>
      </c>
    </row>
    <row r="11" spans="1:22" hidden="1" x14ac:dyDescent="0.25">
      <c r="A11" s="5" t="s">
        <v>33</v>
      </c>
      <c r="B11" s="5"/>
      <c r="C11" s="5"/>
      <c r="D11" s="5"/>
      <c r="E11" s="5"/>
      <c r="F11" s="4">
        <f t="shared" ref="F11:V11" si="0">SUM(F2:F10)</f>
        <v>34000</v>
      </c>
      <c r="G11" s="4">
        <f t="shared" si="0"/>
        <v>692.74</v>
      </c>
      <c r="H11" s="4">
        <f t="shared" si="0"/>
        <v>674590</v>
      </c>
      <c r="I11" s="4">
        <f t="shared" si="0"/>
        <v>572</v>
      </c>
      <c r="J11" s="4">
        <f t="shared" si="0"/>
        <v>77</v>
      </c>
      <c r="K11" s="4">
        <f t="shared" si="0"/>
        <v>0</v>
      </c>
      <c r="L11" s="4">
        <f t="shared" si="0"/>
        <v>0</v>
      </c>
      <c r="M11" s="4">
        <f t="shared" si="0"/>
        <v>0</v>
      </c>
      <c r="N11" s="4">
        <f t="shared" si="0"/>
        <v>0</v>
      </c>
      <c r="O11" s="4">
        <f t="shared" si="0"/>
        <v>0</v>
      </c>
      <c r="P11" s="4">
        <f t="shared" si="0"/>
        <v>-519439</v>
      </c>
      <c r="Q11" s="4">
        <f t="shared" si="0"/>
        <v>2164</v>
      </c>
      <c r="R11" s="4">
        <f t="shared" si="0"/>
        <v>2.86E-2</v>
      </c>
      <c r="S11" s="4">
        <f t="shared" si="0"/>
        <v>672789</v>
      </c>
      <c r="T11" s="4">
        <f t="shared" si="0"/>
        <v>411816</v>
      </c>
      <c r="U11" s="4">
        <f t="shared" si="0"/>
        <v>0</v>
      </c>
      <c r="V11" s="4">
        <f t="shared" si="0"/>
        <v>0</v>
      </c>
    </row>
    <row r="12" spans="1:22" hidden="1" x14ac:dyDescent="0.25"/>
    <row r="13" spans="1:22" hidden="1" x14ac:dyDescent="0.25"/>
    <row r="14" spans="1:22" hidden="1" x14ac:dyDescent="0.25"/>
    <row r="15" spans="1:22" hidden="1" x14ac:dyDescent="0.25"/>
    <row r="18" spans="3:8" x14ac:dyDescent="0.25">
      <c r="C18" t="s">
        <v>30</v>
      </c>
      <c r="D18">
        <v>14.95</v>
      </c>
    </row>
    <row r="19" spans="3:8" x14ac:dyDescent="0.25">
      <c r="C19" t="s">
        <v>34</v>
      </c>
      <c r="D19">
        <v>18.940000000000001</v>
      </c>
      <c r="E19">
        <v>20.53</v>
      </c>
      <c r="F19">
        <f>E19-D19</f>
        <v>1.5899999999999999</v>
      </c>
      <c r="G19">
        <f>F19*7000</f>
        <v>11129.999999999998</v>
      </c>
      <c r="H19" t="s">
        <v>35</v>
      </c>
    </row>
    <row r="20" spans="3:8" x14ac:dyDescent="0.25">
      <c r="C20" s="3" t="s">
        <v>24</v>
      </c>
      <c r="G20" s="3">
        <v>2164</v>
      </c>
      <c r="H20" t="s">
        <v>35</v>
      </c>
    </row>
  </sheetData>
  <autoFilter ref="A1:V15">
    <filterColumn colId="4">
      <filters>
        <filter val="群益ESG投等債20+"/>
      </filters>
    </filterColumn>
  </autoFilter>
  <mergeCells count="1">
    <mergeCell ref="A11:E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崔德昌</dc:creator>
  <cp:lastModifiedBy>崔德昌</cp:lastModifiedBy>
  <dcterms:created xsi:type="dcterms:W3CDTF">2025-05-02T00:52:23Z</dcterms:created>
  <dcterms:modified xsi:type="dcterms:W3CDTF">2025-05-02T03:06:43Z</dcterms:modified>
</cp:coreProperties>
</file>